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oao1\Downloads\"/>
    </mc:Choice>
  </mc:AlternateContent>
  <xr:revisionPtr revIDLastSave="0" documentId="13_ncr:1_{B2498585-ED65-446C-B3CD-A20D352C23FF}" xr6:coauthVersionLast="47" xr6:coauthVersionMax="47" xr10:uidLastSave="{00000000-0000-0000-0000-000000000000}"/>
  <bookViews>
    <workbookView xWindow="-120" yWindow="-120" windowWidth="20730" windowHeight="11160" firstSheet="1" activeTab="4" xr2:uid="{00000000-000D-0000-FFFF-FFFF00000000}"/>
  </bookViews>
  <sheets>
    <sheet name="Dados" sheetId="1" r:id="rId1"/>
    <sheet name="Projeção Populacional" sheetId="2" r:id="rId2"/>
    <sheet name="Método Área Nodal" sheetId="3" r:id="rId3"/>
    <sheet name="Método Linear" sheetId="4" r:id="rId4"/>
    <sheet name="Trechos" sheetId="5" r:id="rId5"/>
    <sheet name="Comparação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1" i="1" l="1"/>
  <c r="B10" i="1"/>
  <c r="B9" i="1"/>
  <c r="D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255" i="5" s="1"/>
  <c r="E188" i="4"/>
  <c r="F188" i="4" s="1"/>
  <c r="C185" i="6" s="1"/>
  <c r="D188" i="4"/>
  <c r="E187" i="4"/>
  <c r="F187" i="4" s="1"/>
  <c r="C184" i="6" s="1"/>
  <c r="D187" i="4"/>
  <c r="F186" i="4"/>
  <c r="C183" i="6" s="1"/>
  <c r="E186" i="4"/>
  <c r="D186" i="4"/>
  <c r="E185" i="4"/>
  <c r="F185" i="4" s="1"/>
  <c r="C182" i="6" s="1"/>
  <c r="D185" i="4"/>
  <c r="E184" i="4"/>
  <c r="F184" i="4" s="1"/>
  <c r="C181" i="6" s="1"/>
  <c r="D184" i="4"/>
  <c r="E183" i="4"/>
  <c r="F183" i="4" s="1"/>
  <c r="C180" i="6" s="1"/>
  <c r="D183" i="4"/>
  <c r="E182" i="4"/>
  <c r="F182" i="4" s="1"/>
  <c r="C179" i="6" s="1"/>
  <c r="D182" i="4"/>
  <c r="E181" i="4"/>
  <c r="F181" i="4" s="1"/>
  <c r="C178" i="6" s="1"/>
  <c r="D181" i="4"/>
  <c r="E180" i="4"/>
  <c r="F180" i="4" s="1"/>
  <c r="C177" i="6" s="1"/>
  <c r="D180" i="4"/>
  <c r="E179" i="4"/>
  <c r="F179" i="4" s="1"/>
  <c r="C176" i="6" s="1"/>
  <c r="D179" i="4"/>
  <c r="E178" i="4"/>
  <c r="F178" i="4" s="1"/>
  <c r="C175" i="6" s="1"/>
  <c r="D178" i="4"/>
  <c r="E177" i="4"/>
  <c r="F177" i="4" s="1"/>
  <c r="C174" i="6" s="1"/>
  <c r="D177" i="4"/>
  <c r="E176" i="4"/>
  <c r="F176" i="4" s="1"/>
  <c r="C173" i="6" s="1"/>
  <c r="D176" i="4"/>
  <c r="E175" i="4"/>
  <c r="F175" i="4" s="1"/>
  <c r="C172" i="6" s="1"/>
  <c r="D175" i="4"/>
  <c r="E174" i="4"/>
  <c r="F174" i="4" s="1"/>
  <c r="C171" i="6" s="1"/>
  <c r="D174" i="4"/>
  <c r="E173" i="4"/>
  <c r="F173" i="4" s="1"/>
  <c r="C170" i="6" s="1"/>
  <c r="D173" i="4"/>
  <c r="E172" i="4"/>
  <c r="F172" i="4" s="1"/>
  <c r="C169" i="6" s="1"/>
  <c r="D172" i="4"/>
  <c r="E171" i="4"/>
  <c r="F171" i="4" s="1"/>
  <c r="C168" i="6" s="1"/>
  <c r="D171" i="4"/>
  <c r="F170" i="4"/>
  <c r="C167" i="6" s="1"/>
  <c r="E170" i="4"/>
  <c r="D170" i="4"/>
  <c r="E169" i="4"/>
  <c r="F169" i="4" s="1"/>
  <c r="C166" i="6" s="1"/>
  <c r="D169" i="4"/>
  <c r="E168" i="4"/>
  <c r="F168" i="4" s="1"/>
  <c r="C165" i="6" s="1"/>
  <c r="D168" i="4"/>
  <c r="E167" i="4"/>
  <c r="F167" i="4" s="1"/>
  <c r="C164" i="6" s="1"/>
  <c r="D167" i="4"/>
  <c r="E166" i="4"/>
  <c r="F166" i="4" s="1"/>
  <c r="C163" i="6" s="1"/>
  <c r="D166" i="4"/>
  <c r="E165" i="4"/>
  <c r="F165" i="4" s="1"/>
  <c r="C162" i="6" s="1"/>
  <c r="D165" i="4"/>
  <c r="E164" i="4"/>
  <c r="F164" i="4" s="1"/>
  <c r="C161" i="6" s="1"/>
  <c r="D164" i="4"/>
  <c r="E163" i="4"/>
  <c r="F163" i="4" s="1"/>
  <c r="C160" i="6" s="1"/>
  <c r="D163" i="4"/>
  <c r="E162" i="4"/>
  <c r="F162" i="4" s="1"/>
  <c r="C159" i="6" s="1"/>
  <c r="D162" i="4"/>
  <c r="E161" i="4"/>
  <c r="F161" i="4" s="1"/>
  <c r="C158" i="6" s="1"/>
  <c r="D161" i="4"/>
  <c r="E160" i="4"/>
  <c r="F160" i="4" s="1"/>
  <c r="C157" i="6" s="1"/>
  <c r="D160" i="4"/>
  <c r="F159" i="4"/>
  <c r="C156" i="6" s="1"/>
  <c r="E159" i="4"/>
  <c r="D159" i="4"/>
  <c r="E158" i="4"/>
  <c r="F158" i="4" s="1"/>
  <c r="C155" i="6" s="1"/>
  <c r="D158" i="4"/>
  <c r="E157" i="4"/>
  <c r="F157" i="4" s="1"/>
  <c r="C154" i="6" s="1"/>
  <c r="D157" i="4"/>
  <c r="E156" i="4"/>
  <c r="F156" i="4" s="1"/>
  <c r="C153" i="6" s="1"/>
  <c r="D156" i="4"/>
  <c r="F155" i="4"/>
  <c r="C152" i="6" s="1"/>
  <c r="E155" i="4"/>
  <c r="D155" i="4"/>
  <c r="E154" i="4"/>
  <c r="F154" i="4" s="1"/>
  <c r="C151" i="6" s="1"/>
  <c r="D154" i="4"/>
  <c r="E153" i="4"/>
  <c r="F153" i="4" s="1"/>
  <c r="C150" i="6" s="1"/>
  <c r="D153" i="4"/>
  <c r="E152" i="4"/>
  <c r="F152" i="4" s="1"/>
  <c r="C149" i="6" s="1"/>
  <c r="D152" i="4"/>
  <c r="F151" i="4"/>
  <c r="C148" i="6" s="1"/>
  <c r="E151" i="4"/>
  <c r="D151" i="4"/>
  <c r="E150" i="4"/>
  <c r="F150" i="4" s="1"/>
  <c r="C147" i="6" s="1"/>
  <c r="D150" i="4"/>
  <c r="E149" i="4"/>
  <c r="F149" i="4" s="1"/>
  <c r="C146" i="6" s="1"/>
  <c r="D149" i="4"/>
  <c r="E148" i="4"/>
  <c r="F148" i="4" s="1"/>
  <c r="C145" i="6" s="1"/>
  <c r="D148" i="4"/>
  <c r="E147" i="4"/>
  <c r="F147" i="4" s="1"/>
  <c r="C144" i="6" s="1"/>
  <c r="D147" i="4"/>
  <c r="E146" i="4"/>
  <c r="F146" i="4" s="1"/>
  <c r="C143" i="6" s="1"/>
  <c r="D146" i="4"/>
  <c r="E145" i="4"/>
  <c r="F145" i="4" s="1"/>
  <c r="C142" i="6" s="1"/>
  <c r="D145" i="4"/>
  <c r="E144" i="4"/>
  <c r="F144" i="4" s="1"/>
  <c r="C141" i="6" s="1"/>
  <c r="D144" i="4"/>
  <c r="F143" i="4"/>
  <c r="C140" i="6" s="1"/>
  <c r="E143" i="4"/>
  <c r="D143" i="4"/>
  <c r="E142" i="4"/>
  <c r="F142" i="4" s="1"/>
  <c r="C139" i="6" s="1"/>
  <c r="D142" i="4"/>
  <c r="E141" i="4"/>
  <c r="F141" i="4" s="1"/>
  <c r="C138" i="6" s="1"/>
  <c r="D141" i="4"/>
  <c r="E140" i="4"/>
  <c r="F140" i="4" s="1"/>
  <c r="C137" i="6" s="1"/>
  <c r="D140" i="4"/>
  <c r="F139" i="4"/>
  <c r="C136" i="6" s="1"/>
  <c r="E139" i="4"/>
  <c r="D139" i="4"/>
  <c r="E138" i="4"/>
  <c r="F138" i="4" s="1"/>
  <c r="C135" i="6" s="1"/>
  <c r="D138" i="4"/>
  <c r="E137" i="4"/>
  <c r="F137" i="4" s="1"/>
  <c r="C134" i="6" s="1"/>
  <c r="D137" i="4"/>
  <c r="E136" i="4"/>
  <c r="F136" i="4" s="1"/>
  <c r="C133" i="6" s="1"/>
  <c r="D136" i="4"/>
  <c r="F135" i="4"/>
  <c r="C132" i="6" s="1"/>
  <c r="E135" i="4"/>
  <c r="D135" i="4"/>
  <c r="E134" i="4"/>
  <c r="F134" i="4" s="1"/>
  <c r="C131" i="6" s="1"/>
  <c r="D134" i="4"/>
  <c r="E133" i="4"/>
  <c r="F133" i="4" s="1"/>
  <c r="C130" i="6" s="1"/>
  <c r="D133" i="4"/>
  <c r="E132" i="4"/>
  <c r="F132" i="4" s="1"/>
  <c r="C129" i="6" s="1"/>
  <c r="D132" i="4"/>
  <c r="E131" i="4"/>
  <c r="F131" i="4" s="1"/>
  <c r="C128" i="6" s="1"/>
  <c r="D131" i="4"/>
  <c r="E130" i="4"/>
  <c r="F130" i="4" s="1"/>
  <c r="C127" i="6" s="1"/>
  <c r="D130" i="4"/>
  <c r="E129" i="4"/>
  <c r="F129" i="4" s="1"/>
  <c r="C126" i="6" s="1"/>
  <c r="D129" i="4"/>
  <c r="E128" i="4"/>
  <c r="F128" i="4" s="1"/>
  <c r="C125" i="6" s="1"/>
  <c r="D128" i="4"/>
  <c r="E127" i="4"/>
  <c r="F127" i="4" s="1"/>
  <c r="C124" i="6" s="1"/>
  <c r="D127" i="4"/>
  <c r="E126" i="4"/>
  <c r="F126" i="4" s="1"/>
  <c r="C123" i="6" s="1"/>
  <c r="D126" i="4"/>
  <c r="E125" i="4"/>
  <c r="F125" i="4" s="1"/>
  <c r="C122" i="6" s="1"/>
  <c r="D125" i="4"/>
  <c r="E124" i="4"/>
  <c r="F124" i="4" s="1"/>
  <c r="C121" i="6" s="1"/>
  <c r="D124" i="4"/>
  <c r="E123" i="4"/>
  <c r="F123" i="4" s="1"/>
  <c r="C120" i="6" s="1"/>
  <c r="D123" i="4"/>
  <c r="E122" i="4"/>
  <c r="F122" i="4" s="1"/>
  <c r="C119" i="6" s="1"/>
  <c r="D122" i="4"/>
  <c r="E121" i="4"/>
  <c r="F121" i="4" s="1"/>
  <c r="C118" i="6" s="1"/>
  <c r="D121" i="4"/>
  <c r="E120" i="4"/>
  <c r="F120" i="4" s="1"/>
  <c r="C117" i="6" s="1"/>
  <c r="D120" i="4"/>
  <c r="F119" i="4"/>
  <c r="C116" i="6" s="1"/>
  <c r="E119" i="4"/>
  <c r="D119" i="4"/>
  <c r="E118" i="4"/>
  <c r="F118" i="4" s="1"/>
  <c r="C115" i="6" s="1"/>
  <c r="D118" i="4"/>
  <c r="E117" i="4"/>
  <c r="F117" i="4" s="1"/>
  <c r="C114" i="6" s="1"/>
  <c r="D117" i="4"/>
  <c r="E116" i="4"/>
  <c r="F116" i="4" s="1"/>
  <c r="C113" i="6" s="1"/>
  <c r="D116" i="4"/>
  <c r="E115" i="4"/>
  <c r="F115" i="4" s="1"/>
  <c r="C112" i="6" s="1"/>
  <c r="D115" i="4"/>
  <c r="E114" i="4"/>
  <c r="F114" i="4" s="1"/>
  <c r="C111" i="6" s="1"/>
  <c r="D114" i="4"/>
  <c r="E113" i="4"/>
  <c r="F113" i="4" s="1"/>
  <c r="C110" i="6" s="1"/>
  <c r="D113" i="4"/>
  <c r="E112" i="4"/>
  <c r="F112" i="4" s="1"/>
  <c r="C109" i="6" s="1"/>
  <c r="D112" i="4"/>
  <c r="F111" i="4"/>
  <c r="C108" i="6" s="1"/>
  <c r="E111" i="4"/>
  <c r="D111" i="4"/>
  <c r="E110" i="4"/>
  <c r="F110" i="4" s="1"/>
  <c r="C107" i="6" s="1"/>
  <c r="D110" i="4"/>
  <c r="E109" i="4"/>
  <c r="F109" i="4" s="1"/>
  <c r="C106" i="6" s="1"/>
  <c r="D109" i="4"/>
  <c r="E108" i="4"/>
  <c r="F108" i="4" s="1"/>
  <c r="C105" i="6" s="1"/>
  <c r="D108" i="4"/>
  <c r="E107" i="4"/>
  <c r="F107" i="4" s="1"/>
  <c r="C104" i="6" s="1"/>
  <c r="D107" i="4"/>
  <c r="E106" i="4"/>
  <c r="F106" i="4" s="1"/>
  <c r="C103" i="6" s="1"/>
  <c r="D106" i="4"/>
  <c r="E105" i="4"/>
  <c r="F105" i="4" s="1"/>
  <c r="C102" i="6" s="1"/>
  <c r="D105" i="4"/>
  <c r="E104" i="4"/>
  <c r="F104" i="4" s="1"/>
  <c r="C101" i="6" s="1"/>
  <c r="D104" i="4"/>
  <c r="F103" i="4"/>
  <c r="C100" i="6" s="1"/>
  <c r="E103" i="4"/>
  <c r="D103" i="4"/>
  <c r="E102" i="4"/>
  <c r="F102" i="4" s="1"/>
  <c r="C99" i="6" s="1"/>
  <c r="D102" i="4"/>
  <c r="E101" i="4"/>
  <c r="F101" i="4" s="1"/>
  <c r="C98" i="6" s="1"/>
  <c r="D101" i="4"/>
  <c r="E100" i="4"/>
  <c r="F100" i="4" s="1"/>
  <c r="C97" i="6" s="1"/>
  <c r="D100" i="4"/>
  <c r="E99" i="4"/>
  <c r="F99" i="4" s="1"/>
  <c r="C96" i="6" s="1"/>
  <c r="D99" i="4"/>
  <c r="E98" i="4"/>
  <c r="F98" i="4" s="1"/>
  <c r="C95" i="6" s="1"/>
  <c r="D98" i="4"/>
  <c r="E97" i="4"/>
  <c r="F97" i="4" s="1"/>
  <c r="C94" i="6" s="1"/>
  <c r="D97" i="4"/>
  <c r="E96" i="4"/>
  <c r="F96" i="4" s="1"/>
  <c r="C93" i="6" s="1"/>
  <c r="D96" i="4"/>
  <c r="F95" i="4"/>
  <c r="C92" i="6" s="1"/>
  <c r="E95" i="4"/>
  <c r="D95" i="4"/>
  <c r="E94" i="4"/>
  <c r="F94" i="4" s="1"/>
  <c r="C91" i="6" s="1"/>
  <c r="D94" i="4"/>
  <c r="E93" i="4"/>
  <c r="F93" i="4" s="1"/>
  <c r="C90" i="6" s="1"/>
  <c r="D93" i="4"/>
  <c r="E92" i="4"/>
  <c r="F92" i="4" s="1"/>
  <c r="C89" i="6" s="1"/>
  <c r="D92" i="4"/>
  <c r="E91" i="4"/>
  <c r="F91" i="4" s="1"/>
  <c r="C88" i="6" s="1"/>
  <c r="D91" i="4"/>
  <c r="E90" i="4"/>
  <c r="F90" i="4" s="1"/>
  <c r="C87" i="6" s="1"/>
  <c r="D90" i="4"/>
  <c r="E89" i="4"/>
  <c r="F89" i="4" s="1"/>
  <c r="C86" i="6" s="1"/>
  <c r="D89" i="4"/>
  <c r="E88" i="4"/>
  <c r="F88" i="4" s="1"/>
  <c r="C85" i="6" s="1"/>
  <c r="D88" i="4"/>
  <c r="F87" i="4"/>
  <c r="C84" i="6" s="1"/>
  <c r="E87" i="4"/>
  <c r="D87" i="4"/>
  <c r="E86" i="4"/>
  <c r="F86" i="4" s="1"/>
  <c r="C83" i="6" s="1"/>
  <c r="D86" i="4"/>
  <c r="E85" i="4"/>
  <c r="F85" i="4" s="1"/>
  <c r="C82" i="6" s="1"/>
  <c r="D85" i="4"/>
  <c r="E84" i="4"/>
  <c r="F84" i="4" s="1"/>
  <c r="C81" i="6" s="1"/>
  <c r="D84" i="4"/>
  <c r="E83" i="4"/>
  <c r="F83" i="4" s="1"/>
  <c r="C80" i="6" s="1"/>
  <c r="D83" i="4"/>
  <c r="E82" i="4"/>
  <c r="F82" i="4" s="1"/>
  <c r="C79" i="6" s="1"/>
  <c r="D82" i="4"/>
  <c r="E81" i="4"/>
  <c r="F81" i="4" s="1"/>
  <c r="C78" i="6" s="1"/>
  <c r="D81" i="4"/>
  <c r="E80" i="4"/>
  <c r="F80" i="4" s="1"/>
  <c r="C77" i="6" s="1"/>
  <c r="D80" i="4"/>
  <c r="F79" i="4"/>
  <c r="C76" i="6" s="1"/>
  <c r="E79" i="4"/>
  <c r="D79" i="4"/>
  <c r="E78" i="4"/>
  <c r="F78" i="4" s="1"/>
  <c r="C75" i="6" s="1"/>
  <c r="D78" i="4"/>
  <c r="E77" i="4"/>
  <c r="F77" i="4" s="1"/>
  <c r="C74" i="6" s="1"/>
  <c r="D77" i="4"/>
  <c r="E76" i="4"/>
  <c r="F76" i="4" s="1"/>
  <c r="C73" i="6" s="1"/>
  <c r="D76" i="4"/>
  <c r="E75" i="4"/>
  <c r="F75" i="4" s="1"/>
  <c r="C72" i="6" s="1"/>
  <c r="D75" i="4"/>
  <c r="E74" i="4"/>
  <c r="F74" i="4" s="1"/>
  <c r="C71" i="6" s="1"/>
  <c r="D74" i="4"/>
  <c r="E73" i="4"/>
  <c r="F73" i="4" s="1"/>
  <c r="C70" i="6" s="1"/>
  <c r="D73" i="4"/>
  <c r="E72" i="4"/>
  <c r="F72" i="4" s="1"/>
  <c r="C69" i="6" s="1"/>
  <c r="D72" i="4"/>
  <c r="E71" i="4"/>
  <c r="F71" i="4" s="1"/>
  <c r="C68" i="6" s="1"/>
  <c r="D71" i="4"/>
  <c r="E70" i="4"/>
  <c r="F70" i="4" s="1"/>
  <c r="C67" i="6" s="1"/>
  <c r="D70" i="4"/>
  <c r="E69" i="4"/>
  <c r="F69" i="4" s="1"/>
  <c r="C66" i="6" s="1"/>
  <c r="D69" i="4"/>
  <c r="E68" i="4"/>
  <c r="F68" i="4" s="1"/>
  <c r="C65" i="6" s="1"/>
  <c r="D68" i="4"/>
  <c r="E67" i="4"/>
  <c r="F67" i="4" s="1"/>
  <c r="D67" i="4"/>
  <c r="E66" i="4"/>
  <c r="F66" i="4" s="1"/>
  <c r="C64" i="6" s="1"/>
  <c r="D66" i="4"/>
  <c r="E65" i="4"/>
  <c r="F65" i="4" s="1"/>
  <c r="C63" i="6" s="1"/>
  <c r="D65" i="4"/>
  <c r="E64" i="4"/>
  <c r="F64" i="4" s="1"/>
  <c r="C62" i="6" s="1"/>
  <c r="D64" i="4"/>
  <c r="F63" i="4"/>
  <c r="C61" i="6" s="1"/>
  <c r="E63" i="4"/>
  <c r="D63" i="4"/>
  <c r="E62" i="4"/>
  <c r="F62" i="4" s="1"/>
  <c r="C60" i="6" s="1"/>
  <c r="D62" i="4"/>
  <c r="E61" i="4"/>
  <c r="F61" i="4" s="1"/>
  <c r="C59" i="6" s="1"/>
  <c r="D61" i="4"/>
  <c r="E60" i="4"/>
  <c r="F60" i="4" s="1"/>
  <c r="C58" i="6" s="1"/>
  <c r="D60" i="4"/>
  <c r="E59" i="4"/>
  <c r="F59" i="4" s="1"/>
  <c r="C57" i="6" s="1"/>
  <c r="D59" i="4"/>
  <c r="E58" i="4"/>
  <c r="F58" i="4" s="1"/>
  <c r="C56" i="6" s="1"/>
  <c r="D58" i="4"/>
  <c r="E57" i="4"/>
  <c r="F57" i="4" s="1"/>
  <c r="C55" i="6" s="1"/>
  <c r="D57" i="4"/>
  <c r="E56" i="4"/>
  <c r="F56" i="4" s="1"/>
  <c r="C54" i="6" s="1"/>
  <c r="D56" i="4"/>
  <c r="F55" i="4"/>
  <c r="C53" i="6" s="1"/>
  <c r="E55" i="4"/>
  <c r="D55" i="4"/>
  <c r="E54" i="4"/>
  <c r="F54" i="4" s="1"/>
  <c r="C52" i="6" s="1"/>
  <c r="D54" i="4"/>
  <c r="E53" i="4"/>
  <c r="F53" i="4" s="1"/>
  <c r="C51" i="6" s="1"/>
  <c r="D53" i="4"/>
  <c r="E52" i="4"/>
  <c r="F52" i="4" s="1"/>
  <c r="C50" i="6" s="1"/>
  <c r="D52" i="4"/>
  <c r="E51" i="4"/>
  <c r="F51" i="4" s="1"/>
  <c r="C49" i="6" s="1"/>
  <c r="D51" i="4"/>
  <c r="E50" i="4"/>
  <c r="F50" i="4" s="1"/>
  <c r="C48" i="6" s="1"/>
  <c r="D50" i="4"/>
  <c r="E49" i="4"/>
  <c r="F49" i="4" s="1"/>
  <c r="C47" i="6" s="1"/>
  <c r="D49" i="4"/>
  <c r="F48" i="4"/>
  <c r="C46" i="6" s="1"/>
  <c r="E48" i="4"/>
  <c r="D48" i="4"/>
  <c r="F47" i="4"/>
  <c r="C45" i="6" s="1"/>
  <c r="E47" i="4"/>
  <c r="D47" i="4"/>
  <c r="E46" i="4"/>
  <c r="F46" i="4" s="1"/>
  <c r="C44" i="6" s="1"/>
  <c r="D46" i="4"/>
  <c r="E45" i="4"/>
  <c r="F45" i="4" s="1"/>
  <c r="C43" i="6" s="1"/>
  <c r="D45" i="4"/>
  <c r="E44" i="4"/>
  <c r="F44" i="4" s="1"/>
  <c r="C42" i="6" s="1"/>
  <c r="D44" i="4"/>
  <c r="E43" i="4"/>
  <c r="F43" i="4" s="1"/>
  <c r="C41" i="6" s="1"/>
  <c r="D43" i="4"/>
  <c r="E42" i="4"/>
  <c r="F42" i="4" s="1"/>
  <c r="C40" i="6" s="1"/>
  <c r="D42" i="4"/>
  <c r="E41" i="4"/>
  <c r="F41" i="4" s="1"/>
  <c r="C39" i="6" s="1"/>
  <c r="D41" i="4"/>
  <c r="E40" i="4"/>
  <c r="F40" i="4" s="1"/>
  <c r="C38" i="6" s="1"/>
  <c r="D40" i="4"/>
  <c r="E39" i="4"/>
  <c r="F39" i="4" s="1"/>
  <c r="C37" i="6" s="1"/>
  <c r="D39" i="4"/>
  <c r="E38" i="4"/>
  <c r="F38" i="4" s="1"/>
  <c r="C36" i="6" s="1"/>
  <c r="D38" i="4"/>
  <c r="E37" i="4"/>
  <c r="F37" i="4" s="1"/>
  <c r="C35" i="6" s="1"/>
  <c r="D37" i="4"/>
  <c r="E36" i="4"/>
  <c r="F36" i="4" s="1"/>
  <c r="C34" i="6" s="1"/>
  <c r="D36" i="4"/>
  <c r="E35" i="4"/>
  <c r="F35" i="4" s="1"/>
  <c r="C33" i="6" s="1"/>
  <c r="D35" i="4"/>
  <c r="E34" i="4"/>
  <c r="F34" i="4" s="1"/>
  <c r="C32" i="6" s="1"/>
  <c r="D34" i="4"/>
  <c r="E33" i="4"/>
  <c r="F33" i="4" s="1"/>
  <c r="C31" i="6" s="1"/>
  <c r="D33" i="4"/>
  <c r="F32" i="4"/>
  <c r="C30" i="6" s="1"/>
  <c r="E32" i="4"/>
  <c r="D32" i="4"/>
  <c r="F31" i="4"/>
  <c r="C29" i="6" s="1"/>
  <c r="E31" i="4"/>
  <c r="D31" i="4"/>
  <c r="E30" i="4"/>
  <c r="F30" i="4" s="1"/>
  <c r="C28" i="6" s="1"/>
  <c r="D30" i="4"/>
  <c r="E29" i="4"/>
  <c r="F29" i="4" s="1"/>
  <c r="C27" i="6" s="1"/>
  <c r="D29" i="4"/>
  <c r="E28" i="4"/>
  <c r="F28" i="4" s="1"/>
  <c r="C26" i="6" s="1"/>
  <c r="D28" i="4"/>
  <c r="E27" i="4"/>
  <c r="F27" i="4" s="1"/>
  <c r="C25" i="6" s="1"/>
  <c r="D27" i="4"/>
  <c r="E26" i="4"/>
  <c r="F26" i="4" s="1"/>
  <c r="D26" i="4"/>
  <c r="E25" i="4"/>
  <c r="F25" i="4" s="1"/>
  <c r="C24" i="6" s="1"/>
  <c r="D25" i="4"/>
  <c r="E24" i="4"/>
  <c r="F24" i="4" s="1"/>
  <c r="C23" i="6" s="1"/>
  <c r="D24" i="4"/>
  <c r="E23" i="4"/>
  <c r="F23" i="4" s="1"/>
  <c r="C22" i="6" s="1"/>
  <c r="D23" i="4"/>
  <c r="E22" i="4"/>
  <c r="F22" i="4" s="1"/>
  <c r="D22" i="4"/>
  <c r="E21" i="4"/>
  <c r="F21" i="4" s="1"/>
  <c r="C21" i="6" s="1"/>
  <c r="D21" i="4"/>
  <c r="E20" i="4"/>
  <c r="F20" i="4" s="1"/>
  <c r="C20" i="6" s="1"/>
  <c r="D20" i="4"/>
  <c r="E19" i="4"/>
  <c r="F19" i="4" s="1"/>
  <c r="C19" i="6" s="1"/>
  <c r="D19" i="4"/>
  <c r="E18" i="4"/>
  <c r="F18" i="4" s="1"/>
  <c r="C18" i="6" s="1"/>
  <c r="D18" i="4"/>
  <c r="E17" i="4"/>
  <c r="F17" i="4" s="1"/>
  <c r="C17" i="6" s="1"/>
  <c r="D17" i="4"/>
  <c r="F16" i="4"/>
  <c r="C16" i="6" s="1"/>
  <c r="E16" i="4"/>
  <c r="D16" i="4"/>
  <c r="F15" i="4"/>
  <c r="C15" i="6" s="1"/>
  <c r="E15" i="4"/>
  <c r="D15" i="4"/>
  <c r="E14" i="4"/>
  <c r="F14" i="4" s="1"/>
  <c r="C14" i="6" s="1"/>
  <c r="D14" i="4"/>
  <c r="E13" i="4"/>
  <c r="F13" i="4" s="1"/>
  <c r="C13" i="6" s="1"/>
  <c r="D13" i="4"/>
  <c r="E12" i="4"/>
  <c r="F12" i="4" s="1"/>
  <c r="C12" i="6" s="1"/>
  <c r="D12" i="4"/>
  <c r="E11" i="4"/>
  <c r="F11" i="4" s="1"/>
  <c r="C11" i="6" s="1"/>
  <c r="D11" i="4"/>
  <c r="E10" i="4"/>
  <c r="F10" i="4" s="1"/>
  <c r="C10" i="6" s="1"/>
  <c r="D10" i="4"/>
  <c r="E9" i="4"/>
  <c r="F9" i="4" s="1"/>
  <c r="C9" i="6" s="1"/>
  <c r="D9" i="4"/>
  <c r="E8" i="4"/>
  <c r="F8" i="4" s="1"/>
  <c r="C8" i="6" s="1"/>
  <c r="D8" i="4"/>
  <c r="E7" i="4"/>
  <c r="F7" i="4" s="1"/>
  <c r="C7" i="6" s="1"/>
  <c r="D7" i="4"/>
  <c r="E6" i="4"/>
  <c r="D6" i="4"/>
  <c r="C186" i="3"/>
  <c r="E185" i="3"/>
  <c r="F185" i="3" s="1"/>
  <c r="B185" i="6" s="1"/>
  <c r="D185" i="3"/>
  <c r="C185" i="3"/>
  <c r="E184" i="3"/>
  <c r="F184" i="3" s="1"/>
  <c r="B184" i="6" s="1"/>
  <c r="D184" i="3"/>
  <c r="C184" i="3"/>
  <c r="E183" i="3"/>
  <c r="F183" i="3" s="1"/>
  <c r="B183" i="6" s="1"/>
  <c r="D183" i="3"/>
  <c r="C183" i="3"/>
  <c r="E182" i="3"/>
  <c r="F182" i="3" s="1"/>
  <c r="B182" i="6" s="1"/>
  <c r="D182" i="3"/>
  <c r="C182" i="3"/>
  <c r="E181" i="3"/>
  <c r="F181" i="3" s="1"/>
  <c r="B181" i="6" s="1"/>
  <c r="D181" i="3"/>
  <c r="C181" i="3"/>
  <c r="E180" i="3"/>
  <c r="F180" i="3" s="1"/>
  <c r="B180" i="6" s="1"/>
  <c r="D180" i="3"/>
  <c r="C180" i="3"/>
  <c r="E179" i="3"/>
  <c r="F179" i="3" s="1"/>
  <c r="B179" i="6" s="1"/>
  <c r="D179" i="3"/>
  <c r="C179" i="3"/>
  <c r="E178" i="3"/>
  <c r="F178" i="3" s="1"/>
  <c r="B178" i="6" s="1"/>
  <c r="D178" i="3"/>
  <c r="C178" i="3"/>
  <c r="E177" i="3"/>
  <c r="F177" i="3" s="1"/>
  <c r="B177" i="6" s="1"/>
  <c r="D177" i="3"/>
  <c r="C177" i="3"/>
  <c r="E176" i="3"/>
  <c r="F176" i="3" s="1"/>
  <c r="B176" i="6" s="1"/>
  <c r="D176" i="3"/>
  <c r="C176" i="3"/>
  <c r="E175" i="3"/>
  <c r="F175" i="3" s="1"/>
  <c r="B175" i="6" s="1"/>
  <c r="D175" i="3"/>
  <c r="C175" i="3"/>
  <c r="E174" i="3"/>
  <c r="F174" i="3" s="1"/>
  <c r="B174" i="6" s="1"/>
  <c r="D174" i="6" s="1"/>
  <c r="D174" i="3"/>
  <c r="C174" i="3"/>
  <c r="E173" i="3"/>
  <c r="F173" i="3" s="1"/>
  <c r="B173" i="6" s="1"/>
  <c r="D173" i="3"/>
  <c r="C173" i="3"/>
  <c r="E172" i="3"/>
  <c r="F172" i="3" s="1"/>
  <c r="B172" i="6" s="1"/>
  <c r="D172" i="3"/>
  <c r="C172" i="3"/>
  <c r="E171" i="3"/>
  <c r="F171" i="3" s="1"/>
  <c r="B171" i="6" s="1"/>
  <c r="D171" i="3"/>
  <c r="C171" i="3"/>
  <c r="E170" i="3"/>
  <c r="F170" i="3" s="1"/>
  <c r="B170" i="6" s="1"/>
  <c r="D170" i="3"/>
  <c r="C170" i="3"/>
  <c r="E169" i="3"/>
  <c r="F169" i="3" s="1"/>
  <c r="B169" i="6" s="1"/>
  <c r="D169" i="3"/>
  <c r="C169" i="3"/>
  <c r="E168" i="3"/>
  <c r="F168" i="3" s="1"/>
  <c r="B168" i="6" s="1"/>
  <c r="D168" i="3"/>
  <c r="C168" i="3"/>
  <c r="E167" i="3"/>
  <c r="F167" i="3" s="1"/>
  <c r="B167" i="6" s="1"/>
  <c r="D167" i="3"/>
  <c r="C167" i="3"/>
  <c r="E166" i="3"/>
  <c r="F166" i="3" s="1"/>
  <c r="B166" i="6" s="1"/>
  <c r="D166" i="3"/>
  <c r="C166" i="3"/>
  <c r="E165" i="3"/>
  <c r="F165" i="3" s="1"/>
  <c r="B165" i="6" s="1"/>
  <c r="D165" i="3"/>
  <c r="C165" i="3"/>
  <c r="E164" i="3"/>
  <c r="F164" i="3" s="1"/>
  <c r="B164" i="6" s="1"/>
  <c r="D164" i="3"/>
  <c r="C164" i="3"/>
  <c r="E163" i="3"/>
  <c r="F163" i="3" s="1"/>
  <c r="B163" i="6" s="1"/>
  <c r="D163" i="3"/>
  <c r="C163" i="3"/>
  <c r="E162" i="3"/>
  <c r="F162" i="3" s="1"/>
  <c r="B162" i="6" s="1"/>
  <c r="D162" i="3"/>
  <c r="C162" i="3"/>
  <c r="E161" i="3"/>
  <c r="F161" i="3" s="1"/>
  <c r="B161" i="6" s="1"/>
  <c r="D161" i="3"/>
  <c r="C161" i="3"/>
  <c r="E160" i="3"/>
  <c r="F160" i="3" s="1"/>
  <c r="B160" i="6" s="1"/>
  <c r="D160" i="3"/>
  <c r="C160" i="3"/>
  <c r="E159" i="3"/>
  <c r="F159" i="3" s="1"/>
  <c r="B159" i="6" s="1"/>
  <c r="D159" i="3"/>
  <c r="C159" i="3"/>
  <c r="E158" i="3"/>
  <c r="F158" i="3" s="1"/>
  <c r="B158" i="6" s="1"/>
  <c r="D158" i="3"/>
  <c r="C158" i="3"/>
  <c r="E157" i="3"/>
  <c r="F157" i="3" s="1"/>
  <c r="B157" i="6" s="1"/>
  <c r="D157" i="3"/>
  <c r="C157" i="3"/>
  <c r="E156" i="3"/>
  <c r="F156" i="3" s="1"/>
  <c r="B156" i="6" s="1"/>
  <c r="D156" i="3"/>
  <c r="C156" i="3"/>
  <c r="E155" i="3"/>
  <c r="F155" i="3" s="1"/>
  <c r="B155" i="6" s="1"/>
  <c r="D155" i="3"/>
  <c r="C155" i="3"/>
  <c r="E154" i="3"/>
  <c r="F154" i="3" s="1"/>
  <c r="B154" i="6" s="1"/>
  <c r="D154" i="6" s="1"/>
  <c r="D154" i="3"/>
  <c r="C154" i="3"/>
  <c r="E153" i="3"/>
  <c r="F153" i="3" s="1"/>
  <c r="B153" i="6" s="1"/>
  <c r="D153" i="3"/>
  <c r="C153" i="3"/>
  <c r="E152" i="3"/>
  <c r="F152" i="3" s="1"/>
  <c r="B152" i="6" s="1"/>
  <c r="D152" i="3"/>
  <c r="C152" i="3"/>
  <c r="E151" i="3"/>
  <c r="F151" i="3" s="1"/>
  <c r="B151" i="6" s="1"/>
  <c r="D151" i="3"/>
  <c r="C151" i="3"/>
  <c r="E150" i="3"/>
  <c r="F150" i="3" s="1"/>
  <c r="B150" i="6" s="1"/>
  <c r="D150" i="3"/>
  <c r="C150" i="3"/>
  <c r="E149" i="3"/>
  <c r="F149" i="3" s="1"/>
  <c r="B149" i="6" s="1"/>
  <c r="D149" i="3"/>
  <c r="C149" i="3"/>
  <c r="E148" i="3"/>
  <c r="F148" i="3" s="1"/>
  <c r="B148" i="6" s="1"/>
  <c r="D148" i="3"/>
  <c r="C148" i="3"/>
  <c r="E147" i="3"/>
  <c r="F147" i="3" s="1"/>
  <c r="B147" i="6" s="1"/>
  <c r="D147" i="3"/>
  <c r="C147" i="3"/>
  <c r="E146" i="3"/>
  <c r="F146" i="3" s="1"/>
  <c r="B146" i="6" s="1"/>
  <c r="D146" i="3"/>
  <c r="C146" i="3"/>
  <c r="E145" i="3"/>
  <c r="F145" i="3" s="1"/>
  <c r="B145" i="6" s="1"/>
  <c r="D145" i="3"/>
  <c r="C145" i="3"/>
  <c r="E144" i="3"/>
  <c r="F144" i="3" s="1"/>
  <c r="B144" i="6" s="1"/>
  <c r="D144" i="3"/>
  <c r="C144" i="3"/>
  <c r="E143" i="3"/>
  <c r="F143" i="3" s="1"/>
  <c r="B143" i="6" s="1"/>
  <c r="D143" i="3"/>
  <c r="C143" i="3"/>
  <c r="E142" i="3"/>
  <c r="F142" i="3" s="1"/>
  <c r="B142" i="6" s="1"/>
  <c r="D142" i="3"/>
  <c r="C142" i="3"/>
  <c r="E141" i="3"/>
  <c r="F141" i="3" s="1"/>
  <c r="B141" i="6" s="1"/>
  <c r="D141" i="3"/>
  <c r="C141" i="3"/>
  <c r="E140" i="3"/>
  <c r="F140" i="3" s="1"/>
  <c r="B140" i="6" s="1"/>
  <c r="D140" i="3"/>
  <c r="C140" i="3"/>
  <c r="E139" i="3"/>
  <c r="F139" i="3" s="1"/>
  <c r="B139" i="6" s="1"/>
  <c r="D139" i="3"/>
  <c r="C139" i="3"/>
  <c r="E138" i="3"/>
  <c r="F138" i="3" s="1"/>
  <c r="B138" i="6" s="1"/>
  <c r="D138" i="3"/>
  <c r="C138" i="3"/>
  <c r="E137" i="3"/>
  <c r="F137" i="3" s="1"/>
  <c r="B137" i="6" s="1"/>
  <c r="D137" i="3"/>
  <c r="C137" i="3"/>
  <c r="E136" i="3"/>
  <c r="F136" i="3" s="1"/>
  <c r="B136" i="6" s="1"/>
  <c r="D136" i="3"/>
  <c r="C136" i="3"/>
  <c r="E135" i="3"/>
  <c r="F135" i="3" s="1"/>
  <c r="B135" i="6" s="1"/>
  <c r="D135" i="3"/>
  <c r="C135" i="3"/>
  <c r="E134" i="3"/>
  <c r="F134" i="3" s="1"/>
  <c r="B134" i="6" s="1"/>
  <c r="D134" i="3"/>
  <c r="C134" i="3"/>
  <c r="E133" i="3"/>
  <c r="F133" i="3" s="1"/>
  <c r="B133" i="6" s="1"/>
  <c r="D133" i="3"/>
  <c r="C133" i="3"/>
  <c r="E132" i="3"/>
  <c r="F132" i="3" s="1"/>
  <c r="B132" i="6" s="1"/>
  <c r="D132" i="3"/>
  <c r="C132" i="3"/>
  <c r="E131" i="3"/>
  <c r="F131" i="3" s="1"/>
  <c r="B131" i="6" s="1"/>
  <c r="D131" i="3"/>
  <c r="C131" i="3"/>
  <c r="E130" i="3"/>
  <c r="F130" i="3" s="1"/>
  <c r="B130" i="6" s="1"/>
  <c r="D130" i="3"/>
  <c r="C130" i="3"/>
  <c r="E129" i="3"/>
  <c r="F129" i="3" s="1"/>
  <c r="B129" i="6" s="1"/>
  <c r="D129" i="3"/>
  <c r="C129" i="3"/>
  <c r="E128" i="3"/>
  <c r="F128" i="3" s="1"/>
  <c r="B128" i="6" s="1"/>
  <c r="D128" i="3"/>
  <c r="C128" i="3"/>
  <c r="E127" i="3"/>
  <c r="F127" i="3" s="1"/>
  <c r="B127" i="6" s="1"/>
  <c r="D127" i="3"/>
  <c r="C127" i="3"/>
  <c r="E126" i="3"/>
  <c r="F126" i="3" s="1"/>
  <c r="B126" i="6" s="1"/>
  <c r="D126" i="6" s="1"/>
  <c r="D126" i="3"/>
  <c r="C126" i="3"/>
  <c r="E125" i="3"/>
  <c r="F125" i="3" s="1"/>
  <c r="B125" i="6" s="1"/>
  <c r="D125" i="3"/>
  <c r="C125" i="3"/>
  <c r="E124" i="3"/>
  <c r="F124" i="3" s="1"/>
  <c r="B124" i="6" s="1"/>
  <c r="D124" i="3"/>
  <c r="C124" i="3"/>
  <c r="E123" i="3"/>
  <c r="F123" i="3" s="1"/>
  <c r="B123" i="6" s="1"/>
  <c r="D123" i="3"/>
  <c r="C123" i="3"/>
  <c r="E122" i="3"/>
  <c r="F122" i="3" s="1"/>
  <c r="B122" i="6" s="1"/>
  <c r="D122" i="3"/>
  <c r="C122" i="3"/>
  <c r="E121" i="3"/>
  <c r="F121" i="3" s="1"/>
  <c r="B121" i="6" s="1"/>
  <c r="D121" i="3"/>
  <c r="C121" i="3"/>
  <c r="E120" i="3"/>
  <c r="F120" i="3" s="1"/>
  <c r="B120" i="6" s="1"/>
  <c r="D120" i="3"/>
  <c r="C120" i="3"/>
  <c r="E119" i="3"/>
  <c r="F119" i="3" s="1"/>
  <c r="B119" i="6" s="1"/>
  <c r="D119" i="3"/>
  <c r="C119" i="3"/>
  <c r="E118" i="3"/>
  <c r="F118" i="3" s="1"/>
  <c r="B118" i="6" s="1"/>
  <c r="D118" i="3"/>
  <c r="C118" i="3"/>
  <c r="E117" i="3"/>
  <c r="F117" i="3" s="1"/>
  <c r="B117" i="6" s="1"/>
  <c r="D117" i="6" s="1"/>
  <c r="D117" i="3"/>
  <c r="C117" i="3"/>
  <c r="E116" i="3"/>
  <c r="F116" i="3" s="1"/>
  <c r="B116" i="6" s="1"/>
  <c r="D116" i="3"/>
  <c r="C116" i="3"/>
  <c r="E115" i="3"/>
  <c r="F115" i="3" s="1"/>
  <c r="B115" i="6" s="1"/>
  <c r="D115" i="3"/>
  <c r="C115" i="3"/>
  <c r="E114" i="3"/>
  <c r="F114" i="3" s="1"/>
  <c r="B114" i="6" s="1"/>
  <c r="D114" i="3"/>
  <c r="C114" i="3"/>
  <c r="E113" i="3"/>
  <c r="F113" i="3" s="1"/>
  <c r="B113" i="6" s="1"/>
  <c r="D113" i="3"/>
  <c r="C113" i="3"/>
  <c r="E112" i="3"/>
  <c r="F112" i="3" s="1"/>
  <c r="B112" i="6" s="1"/>
  <c r="D112" i="3"/>
  <c r="C112" i="3"/>
  <c r="E111" i="3"/>
  <c r="F111" i="3" s="1"/>
  <c r="B111" i="6" s="1"/>
  <c r="D111" i="3"/>
  <c r="C111" i="3"/>
  <c r="E110" i="3"/>
  <c r="F110" i="3" s="1"/>
  <c r="B110" i="6" s="1"/>
  <c r="D110" i="3"/>
  <c r="C110" i="3"/>
  <c r="E109" i="3"/>
  <c r="F109" i="3" s="1"/>
  <c r="B109" i="6" s="1"/>
  <c r="D109" i="3"/>
  <c r="C109" i="3"/>
  <c r="E108" i="3"/>
  <c r="F108" i="3" s="1"/>
  <c r="B108" i="6" s="1"/>
  <c r="D108" i="3"/>
  <c r="C108" i="3"/>
  <c r="E107" i="3"/>
  <c r="F107" i="3" s="1"/>
  <c r="B107" i="6" s="1"/>
  <c r="D107" i="3"/>
  <c r="C107" i="3"/>
  <c r="E106" i="3"/>
  <c r="F106" i="3" s="1"/>
  <c r="B106" i="6" s="1"/>
  <c r="D106" i="6" s="1"/>
  <c r="D106" i="3"/>
  <c r="C106" i="3"/>
  <c r="E105" i="3"/>
  <c r="F105" i="3" s="1"/>
  <c r="B105" i="6" s="1"/>
  <c r="D105" i="3"/>
  <c r="C105" i="3"/>
  <c r="E104" i="3"/>
  <c r="F104" i="3" s="1"/>
  <c r="B104" i="6" s="1"/>
  <c r="D104" i="3"/>
  <c r="C104" i="3"/>
  <c r="E103" i="3"/>
  <c r="F103" i="3" s="1"/>
  <c r="B103" i="6" s="1"/>
  <c r="D103" i="3"/>
  <c r="C103" i="3"/>
  <c r="E102" i="3"/>
  <c r="F102" i="3" s="1"/>
  <c r="B102" i="6" s="1"/>
  <c r="D102" i="3"/>
  <c r="C102" i="3"/>
  <c r="E101" i="3"/>
  <c r="F101" i="3" s="1"/>
  <c r="B101" i="6" s="1"/>
  <c r="D101" i="3"/>
  <c r="C101" i="3"/>
  <c r="E100" i="3"/>
  <c r="F100" i="3" s="1"/>
  <c r="B100" i="6" s="1"/>
  <c r="D100" i="3"/>
  <c r="C100" i="3"/>
  <c r="E99" i="3"/>
  <c r="F99" i="3" s="1"/>
  <c r="B99" i="6" s="1"/>
  <c r="D99" i="3"/>
  <c r="C99" i="3"/>
  <c r="E98" i="3"/>
  <c r="F98" i="3" s="1"/>
  <c r="B98" i="6" s="1"/>
  <c r="D98" i="3"/>
  <c r="C98" i="3"/>
  <c r="E97" i="3"/>
  <c r="F97" i="3" s="1"/>
  <c r="B97" i="6" s="1"/>
  <c r="D97" i="3"/>
  <c r="C97" i="3"/>
  <c r="E96" i="3"/>
  <c r="F96" i="3" s="1"/>
  <c r="B96" i="6" s="1"/>
  <c r="D96" i="3"/>
  <c r="C96" i="3"/>
  <c r="E95" i="3"/>
  <c r="F95" i="3" s="1"/>
  <c r="B95" i="6" s="1"/>
  <c r="D95" i="3"/>
  <c r="C95" i="3"/>
  <c r="E94" i="3"/>
  <c r="F94" i="3" s="1"/>
  <c r="B94" i="6" s="1"/>
  <c r="D94" i="3"/>
  <c r="C94" i="3"/>
  <c r="E93" i="3"/>
  <c r="F93" i="3" s="1"/>
  <c r="B93" i="6" s="1"/>
  <c r="D93" i="3"/>
  <c r="C93" i="3"/>
  <c r="E92" i="3"/>
  <c r="F92" i="3" s="1"/>
  <c r="B92" i="6" s="1"/>
  <c r="D92" i="3"/>
  <c r="C92" i="3"/>
  <c r="E91" i="3"/>
  <c r="F91" i="3" s="1"/>
  <c r="B91" i="6" s="1"/>
  <c r="D91" i="3"/>
  <c r="C91" i="3"/>
  <c r="E90" i="3"/>
  <c r="F90" i="3" s="1"/>
  <c r="B90" i="6" s="1"/>
  <c r="D90" i="3"/>
  <c r="C90" i="3"/>
  <c r="E89" i="3"/>
  <c r="F89" i="3" s="1"/>
  <c r="B89" i="6" s="1"/>
  <c r="D89" i="3"/>
  <c r="C89" i="3"/>
  <c r="E88" i="3"/>
  <c r="F88" i="3" s="1"/>
  <c r="B88" i="6" s="1"/>
  <c r="D88" i="3"/>
  <c r="C88" i="3"/>
  <c r="E87" i="3"/>
  <c r="F87" i="3" s="1"/>
  <c r="B87" i="6" s="1"/>
  <c r="D87" i="3"/>
  <c r="C87" i="3"/>
  <c r="E86" i="3"/>
  <c r="F86" i="3" s="1"/>
  <c r="B86" i="6" s="1"/>
  <c r="D86" i="6" s="1"/>
  <c r="D86" i="3"/>
  <c r="C86" i="3"/>
  <c r="E85" i="3"/>
  <c r="F85" i="3" s="1"/>
  <c r="B85" i="6" s="1"/>
  <c r="D85" i="3"/>
  <c r="C85" i="3"/>
  <c r="E84" i="3"/>
  <c r="F84" i="3" s="1"/>
  <c r="B84" i="6" s="1"/>
  <c r="D84" i="3"/>
  <c r="C84" i="3"/>
  <c r="E83" i="3"/>
  <c r="F83" i="3" s="1"/>
  <c r="B83" i="6" s="1"/>
  <c r="D83" i="3"/>
  <c r="C83" i="3"/>
  <c r="E82" i="3"/>
  <c r="F82" i="3" s="1"/>
  <c r="B82" i="6" s="1"/>
  <c r="D82" i="3"/>
  <c r="C82" i="3"/>
  <c r="E81" i="3"/>
  <c r="F81" i="3" s="1"/>
  <c r="B81" i="6" s="1"/>
  <c r="D81" i="3"/>
  <c r="C81" i="3"/>
  <c r="E80" i="3"/>
  <c r="F80" i="3" s="1"/>
  <c r="B80" i="6" s="1"/>
  <c r="D80" i="3"/>
  <c r="C80" i="3"/>
  <c r="E79" i="3"/>
  <c r="F79" i="3" s="1"/>
  <c r="B79" i="6" s="1"/>
  <c r="D79" i="3"/>
  <c r="C79" i="3"/>
  <c r="E78" i="3"/>
  <c r="F78" i="3" s="1"/>
  <c r="B78" i="6" s="1"/>
  <c r="D78" i="3"/>
  <c r="C78" i="3"/>
  <c r="E77" i="3"/>
  <c r="F77" i="3" s="1"/>
  <c r="B77" i="6" s="1"/>
  <c r="D77" i="3"/>
  <c r="C77" i="3"/>
  <c r="E76" i="3"/>
  <c r="F76" i="3" s="1"/>
  <c r="B76" i="6" s="1"/>
  <c r="D76" i="3"/>
  <c r="C76" i="3"/>
  <c r="E75" i="3"/>
  <c r="F75" i="3" s="1"/>
  <c r="B75" i="6" s="1"/>
  <c r="D75" i="3"/>
  <c r="C75" i="3"/>
  <c r="E74" i="3"/>
  <c r="F74" i="3" s="1"/>
  <c r="B74" i="6" s="1"/>
  <c r="D74" i="3"/>
  <c r="C74" i="3"/>
  <c r="E73" i="3"/>
  <c r="F73" i="3" s="1"/>
  <c r="B73" i="6" s="1"/>
  <c r="D73" i="3"/>
  <c r="C73" i="3"/>
  <c r="E72" i="3"/>
  <c r="F72" i="3" s="1"/>
  <c r="B72" i="6" s="1"/>
  <c r="D72" i="3"/>
  <c r="C72" i="3"/>
  <c r="E71" i="3"/>
  <c r="F71" i="3" s="1"/>
  <c r="B71" i="6" s="1"/>
  <c r="D71" i="3"/>
  <c r="C71" i="3"/>
  <c r="E70" i="3"/>
  <c r="F70" i="3" s="1"/>
  <c r="B70" i="6" s="1"/>
  <c r="D70" i="3"/>
  <c r="C70" i="3"/>
  <c r="E69" i="3"/>
  <c r="F69" i="3" s="1"/>
  <c r="B69" i="6" s="1"/>
  <c r="D69" i="3"/>
  <c r="C69" i="3"/>
  <c r="E68" i="3"/>
  <c r="F68" i="3" s="1"/>
  <c r="B68" i="6" s="1"/>
  <c r="D68" i="3"/>
  <c r="C68" i="3"/>
  <c r="E67" i="3"/>
  <c r="F67" i="3" s="1"/>
  <c r="B67" i="6" s="1"/>
  <c r="D67" i="3"/>
  <c r="C67" i="3"/>
  <c r="E66" i="3"/>
  <c r="F66" i="3" s="1"/>
  <c r="B66" i="6" s="1"/>
  <c r="D66" i="3"/>
  <c r="C66" i="3"/>
  <c r="E65" i="3"/>
  <c r="F65" i="3" s="1"/>
  <c r="B65" i="6" s="1"/>
  <c r="D65" i="3"/>
  <c r="C65" i="3"/>
  <c r="E64" i="3"/>
  <c r="F64" i="3" s="1"/>
  <c r="B64" i="6" s="1"/>
  <c r="D64" i="3"/>
  <c r="C64" i="3"/>
  <c r="E63" i="3"/>
  <c r="F63" i="3" s="1"/>
  <c r="B63" i="6" s="1"/>
  <c r="D63" i="3"/>
  <c r="C63" i="3"/>
  <c r="E62" i="3"/>
  <c r="F62" i="3" s="1"/>
  <c r="B62" i="6" s="1"/>
  <c r="D62" i="3"/>
  <c r="C62" i="3"/>
  <c r="E61" i="3"/>
  <c r="F61" i="3" s="1"/>
  <c r="B61" i="6" s="1"/>
  <c r="D61" i="3"/>
  <c r="C61" i="3"/>
  <c r="E60" i="3"/>
  <c r="F60" i="3" s="1"/>
  <c r="B60" i="6" s="1"/>
  <c r="D60" i="3"/>
  <c r="C60" i="3"/>
  <c r="E59" i="3"/>
  <c r="F59" i="3" s="1"/>
  <c r="B59" i="6" s="1"/>
  <c r="D59" i="3"/>
  <c r="C59" i="3"/>
  <c r="E58" i="3"/>
  <c r="F58" i="3" s="1"/>
  <c r="B58" i="6" s="1"/>
  <c r="D58" i="3"/>
  <c r="C58" i="3"/>
  <c r="E57" i="3"/>
  <c r="F57" i="3" s="1"/>
  <c r="B57" i="6" s="1"/>
  <c r="D57" i="3"/>
  <c r="C57" i="3"/>
  <c r="E56" i="3"/>
  <c r="F56" i="3" s="1"/>
  <c r="B56" i="6" s="1"/>
  <c r="D56" i="3"/>
  <c r="C56" i="3"/>
  <c r="E55" i="3"/>
  <c r="F55" i="3" s="1"/>
  <c r="B55" i="6" s="1"/>
  <c r="D55" i="3"/>
  <c r="C55" i="3"/>
  <c r="E54" i="3"/>
  <c r="F54" i="3" s="1"/>
  <c r="B54" i="6" s="1"/>
  <c r="D54" i="3"/>
  <c r="C54" i="3"/>
  <c r="E53" i="3"/>
  <c r="F53" i="3" s="1"/>
  <c r="B53" i="6" s="1"/>
  <c r="D53" i="3"/>
  <c r="C53" i="3"/>
  <c r="E52" i="3"/>
  <c r="F52" i="3" s="1"/>
  <c r="B52" i="6" s="1"/>
  <c r="D52" i="3"/>
  <c r="C52" i="3"/>
  <c r="E51" i="3"/>
  <c r="F51" i="3" s="1"/>
  <c r="B51" i="6" s="1"/>
  <c r="D51" i="3"/>
  <c r="C51" i="3"/>
  <c r="E50" i="3"/>
  <c r="F50" i="3" s="1"/>
  <c r="B50" i="6" s="1"/>
  <c r="D50" i="3"/>
  <c r="C50" i="3"/>
  <c r="E49" i="3"/>
  <c r="F49" i="3" s="1"/>
  <c r="B49" i="6" s="1"/>
  <c r="D49" i="3"/>
  <c r="C49" i="3"/>
  <c r="E48" i="3"/>
  <c r="F48" i="3" s="1"/>
  <c r="B48" i="6" s="1"/>
  <c r="D48" i="3"/>
  <c r="C48" i="3"/>
  <c r="E47" i="3"/>
  <c r="F47" i="3" s="1"/>
  <c r="B47" i="6" s="1"/>
  <c r="D47" i="3"/>
  <c r="C47" i="3"/>
  <c r="E46" i="3"/>
  <c r="F46" i="3" s="1"/>
  <c r="B46" i="6" s="1"/>
  <c r="D46" i="3"/>
  <c r="C46" i="3"/>
  <c r="E45" i="3"/>
  <c r="F45" i="3" s="1"/>
  <c r="B45" i="6" s="1"/>
  <c r="D45" i="3"/>
  <c r="C45" i="3"/>
  <c r="E44" i="3"/>
  <c r="F44" i="3" s="1"/>
  <c r="B44" i="6" s="1"/>
  <c r="D44" i="3"/>
  <c r="C44" i="3"/>
  <c r="E43" i="3"/>
  <c r="F43" i="3" s="1"/>
  <c r="B43" i="6" s="1"/>
  <c r="D43" i="3"/>
  <c r="C43" i="3"/>
  <c r="E42" i="3"/>
  <c r="F42" i="3" s="1"/>
  <c r="B42" i="6" s="1"/>
  <c r="D42" i="3"/>
  <c r="C42" i="3"/>
  <c r="E41" i="3"/>
  <c r="F41" i="3" s="1"/>
  <c r="B41" i="6" s="1"/>
  <c r="D41" i="3"/>
  <c r="C41" i="3"/>
  <c r="E40" i="3"/>
  <c r="F40" i="3" s="1"/>
  <c r="B40" i="6" s="1"/>
  <c r="D40" i="3"/>
  <c r="C40" i="3"/>
  <c r="E39" i="3"/>
  <c r="F39" i="3" s="1"/>
  <c r="B39" i="6" s="1"/>
  <c r="D39" i="3"/>
  <c r="C39" i="3"/>
  <c r="E38" i="3"/>
  <c r="F38" i="3" s="1"/>
  <c r="B38" i="6" s="1"/>
  <c r="D38" i="3"/>
  <c r="C38" i="3"/>
  <c r="E37" i="3"/>
  <c r="F37" i="3" s="1"/>
  <c r="B37" i="6" s="1"/>
  <c r="D37" i="3"/>
  <c r="C37" i="3"/>
  <c r="E36" i="3"/>
  <c r="F36" i="3" s="1"/>
  <c r="B36" i="6" s="1"/>
  <c r="D36" i="3"/>
  <c r="C36" i="3"/>
  <c r="E35" i="3"/>
  <c r="F35" i="3" s="1"/>
  <c r="B35" i="6" s="1"/>
  <c r="D35" i="3"/>
  <c r="C35" i="3"/>
  <c r="E34" i="3"/>
  <c r="F34" i="3" s="1"/>
  <c r="B34" i="6" s="1"/>
  <c r="D34" i="3"/>
  <c r="C34" i="3"/>
  <c r="E33" i="3"/>
  <c r="F33" i="3" s="1"/>
  <c r="B33" i="6" s="1"/>
  <c r="D33" i="3"/>
  <c r="C33" i="3"/>
  <c r="E32" i="3"/>
  <c r="F32" i="3" s="1"/>
  <c r="B32" i="6" s="1"/>
  <c r="D32" i="3"/>
  <c r="C32" i="3"/>
  <c r="E31" i="3"/>
  <c r="F31" i="3" s="1"/>
  <c r="B31" i="6" s="1"/>
  <c r="D31" i="3"/>
  <c r="C31" i="3"/>
  <c r="E30" i="3"/>
  <c r="F30" i="3" s="1"/>
  <c r="B30" i="6" s="1"/>
  <c r="D30" i="3"/>
  <c r="C30" i="3"/>
  <c r="E29" i="3"/>
  <c r="F29" i="3" s="1"/>
  <c r="B29" i="6" s="1"/>
  <c r="D29" i="3"/>
  <c r="C29" i="3"/>
  <c r="E28" i="3"/>
  <c r="F28" i="3" s="1"/>
  <c r="B28" i="6" s="1"/>
  <c r="D28" i="3"/>
  <c r="C28" i="3"/>
  <c r="E27" i="3"/>
  <c r="F27" i="3" s="1"/>
  <c r="B27" i="6" s="1"/>
  <c r="D27" i="3"/>
  <c r="C27" i="3"/>
  <c r="E26" i="3"/>
  <c r="F26" i="3" s="1"/>
  <c r="B26" i="6" s="1"/>
  <c r="D26" i="3"/>
  <c r="C26" i="3"/>
  <c r="E25" i="3"/>
  <c r="F25" i="3" s="1"/>
  <c r="B25" i="6" s="1"/>
  <c r="D25" i="3"/>
  <c r="C25" i="3"/>
  <c r="E24" i="3"/>
  <c r="F24" i="3" s="1"/>
  <c r="B24" i="6" s="1"/>
  <c r="D24" i="3"/>
  <c r="C24" i="3"/>
  <c r="E23" i="3"/>
  <c r="F23" i="3" s="1"/>
  <c r="B23" i="6" s="1"/>
  <c r="D23" i="3"/>
  <c r="C23" i="3"/>
  <c r="E22" i="3"/>
  <c r="F22" i="3" s="1"/>
  <c r="B22" i="6" s="1"/>
  <c r="D22" i="3"/>
  <c r="C22" i="3"/>
  <c r="E21" i="3"/>
  <c r="F21" i="3" s="1"/>
  <c r="B21" i="6" s="1"/>
  <c r="D21" i="3"/>
  <c r="C21" i="3"/>
  <c r="E20" i="3"/>
  <c r="F20" i="3" s="1"/>
  <c r="B20" i="6" s="1"/>
  <c r="D20" i="3"/>
  <c r="C20" i="3"/>
  <c r="E19" i="3"/>
  <c r="F19" i="3" s="1"/>
  <c r="B19" i="6" s="1"/>
  <c r="D19" i="3"/>
  <c r="C19" i="3"/>
  <c r="E18" i="3"/>
  <c r="F18" i="3" s="1"/>
  <c r="B18" i="6" s="1"/>
  <c r="D18" i="3"/>
  <c r="C18" i="3"/>
  <c r="E17" i="3"/>
  <c r="F17" i="3" s="1"/>
  <c r="B17" i="6" s="1"/>
  <c r="D17" i="3"/>
  <c r="C17" i="3"/>
  <c r="E16" i="3"/>
  <c r="F16" i="3" s="1"/>
  <c r="B16" i="6" s="1"/>
  <c r="D16" i="3"/>
  <c r="C16" i="3"/>
  <c r="E15" i="3"/>
  <c r="F15" i="3" s="1"/>
  <c r="B15" i="6" s="1"/>
  <c r="D15" i="3"/>
  <c r="C15" i="3"/>
  <c r="E14" i="3"/>
  <c r="F14" i="3" s="1"/>
  <c r="B14" i="6" s="1"/>
  <c r="D14" i="3"/>
  <c r="C14" i="3"/>
  <c r="E13" i="3"/>
  <c r="F13" i="3" s="1"/>
  <c r="B13" i="6" s="1"/>
  <c r="D13" i="3"/>
  <c r="C13" i="3"/>
  <c r="E12" i="3"/>
  <c r="F12" i="3" s="1"/>
  <c r="B12" i="6" s="1"/>
  <c r="D12" i="3"/>
  <c r="C12" i="3"/>
  <c r="E11" i="3"/>
  <c r="F11" i="3" s="1"/>
  <c r="B11" i="6" s="1"/>
  <c r="D11" i="3"/>
  <c r="C11" i="3"/>
  <c r="E10" i="3"/>
  <c r="F10" i="3" s="1"/>
  <c r="B10" i="6" s="1"/>
  <c r="D10" i="3"/>
  <c r="C10" i="3"/>
  <c r="E9" i="3"/>
  <c r="F9" i="3" s="1"/>
  <c r="B9" i="6" s="1"/>
  <c r="D9" i="3"/>
  <c r="C9" i="3"/>
  <c r="E8" i="3"/>
  <c r="F8" i="3" s="1"/>
  <c r="B8" i="6" s="1"/>
  <c r="D8" i="3"/>
  <c r="C8" i="3"/>
  <c r="E7" i="3"/>
  <c r="F7" i="3" s="1"/>
  <c r="B7" i="6" s="1"/>
  <c r="D7" i="3"/>
  <c r="C7" i="3"/>
  <c r="E6" i="3"/>
  <c r="F6" i="3" s="1"/>
  <c r="B6" i="6" s="1"/>
  <c r="D6" i="3"/>
  <c r="C6" i="3"/>
  <c r="D189" i="4" l="1"/>
  <c r="E189" i="4"/>
  <c r="D72" i="6"/>
  <c r="D88" i="6"/>
  <c r="E88" i="6" s="1"/>
  <c r="D104" i="6"/>
  <c r="D112" i="6"/>
  <c r="D48" i="6"/>
  <c r="D56" i="6"/>
  <c r="E56" i="6" s="1"/>
  <c r="E186" i="3"/>
  <c r="D8" i="6"/>
  <c r="F8" i="6" s="1"/>
  <c r="D16" i="6"/>
  <c r="F16" i="6" s="1"/>
  <c r="D20" i="6"/>
  <c r="F20" i="6" s="1"/>
  <c r="D23" i="6"/>
  <c r="E23" i="6" s="1"/>
  <c r="D25" i="6"/>
  <c r="E25" i="6" s="1"/>
  <c r="D29" i="6"/>
  <c r="E29" i="6" s="1"/>
  <c r="D33" i="6"/>
  <c r="F33" i="6" s="1"/>
  <c r="D42" i="6"/>
  <c r="F42" i="6" s="1"/>
  <c r="D7" i="6"/>
  <c r="E7" i="6" s="1"/>
  <c r="D10" i="6"/>
  <c r="E10" i="6" s="1"/>
  <c r="D12" i="6"/>
  <c r="E12" i="6" s="1"/>
  <c r="D15" i="6"/>
  <c r="E15" i="6" s="1"/>
  <c r="D19" i="6"/>
  <c r="E19" i="6" s="1"/>
  <c r="D22" i="6"/>
  <c r="F22" i="6" s="1"/>
  <c r="D28" i="6"/>
  <c r="E28" i="6" s="1"/>
  <c r="D32" i="6"/>
  <c r="E32" i="6" s="1"/>
  <c r="D36" i="6"/>
  <c r="E36" i="6" s="1"/>
  <c r="D38" i="6"/>
  <c r="E38" i="6" s="1"/>
  <c r="D41" i="6"/>
  <c r="F41" i="6" s="1"/>
  <c r="D44" i="6"/>
  <c r="F44" i="6" s="1"/>
  <c r="D46" i="6"/>
  <c r="F46" i="6" s="1"/>
  <c r="D50" i="6"/>
  <c r="E50" i="6" s="1"/>
  <c r="D53" i="6"/>
  <c r="E53" i="6" s="1"/>
  <c r="D54" i="6"/>
  <c r="F54" i="6" s="1"/>
  <c r="D57" i="6"/>
  <c r="F57" i="6" s="1"/>
  <c r="D61" i="6"/>
  <c r="E61" i="6" s="1"/>
  <c r="D11" i="6"/>
  <c r="F11" i="6" s="1"/>
  <c r="D14" i="6"/>
  <c r="F14" i="6" s="1"/>
  <c r="D18" i="6"/>
  <c r="E18" i="6" s="1"/>
  <c r="D26" i="6"/>
  <c r="E26" i="6" s="1"/>
  <c r="D30" i="6"/>
  <c r="F30" i="6" s="1"/>
  <c r="D34" i="6"/>
  <c r="F34" i="6" s="1"/>
  <c r="D37" i="6"/>
  <c r="F37" i="6" s="1"/>
  <c r="D40" i="6"/>
  <c r="E40" i="6" s="1"/>
  <c r="D45" i="6"/>
  <c r="E45" i="6" s="1"/>
  <c r="D49" i="6"/>
  <c r="E49" i="6" s="1"/>
  <c r="D58" i="6"/>
  <c r="F58" i="6" s="1"/>
  <c r="D62" i="6"/>
  <c r="F62" i="6" s="1"/>
  <c r="D65" i="6"/>
  <c r="E65" i="6" s="1"/>
  <c r="D68" i="6"/>
  <c r="E68" i="6" s="1"/>
  <c r="D69" i="6"/>
  <c r="F69" i="6" s="1"/>
  <c r="D74" i="6"/>
  <c r="F74" i="6" s="1"/>
  <c r="D75" i="6"/>
  <c r="F75" i="6" s="1"/>
  <c r="D76" i="6"/>
  <c r="E76" i="6" s="1"/>
  <c r="D78" i="6"/>
  <c r="E78" i="6" s="1"/>
  <c r="D79" i="6"/>
  <c r="F79" i="6" s="1"/>
  <c r="D80" i="6"/>
  <c r="F80" i="6" s="1"/>
  <c r="D90" i="6"/>
  <c r="F90" i="6" s="1"/>
  <c r="D91" i="6"/>
  <c r="E91" i="6" s="1"/>
  <c r="D92" i="6"/>
  <c r="E92" i="6" s="1"/>
  <c r="D94" i="6"/>
  <c r="F94" i="6" s="1"/>
  <c r="D95" i="6"/>
  <c r="F95" i="6" s="1"/>
  <c r="D96" i="6"/>
  <c r="F96" i="6" s="1"/>
  <c r="D100" i="6"/>
  <c r="F100" i="6" s="1"/>
  <c r="D103" i="6"/>
  <c r="E103" i="6" s="1"/>
  <c r="D108" i="6"/>
  <c r="F108" i="6" s="1"/>
  <c r="D111" i="6"/>
  <c r="F111" i="6" s="1"/>
  <c r="D116" i="6"/>
  <c r="E116" i="6" s="1"/>
  <c r="D120" i="6"/>
  <c r="E120" i="6" s="1"/>
  <c r="D129" i="6"/>
  <c r="F129" i="6" s="1"/>
  <c r="D136" i="6"/>
  <c r="E136" i="6" s="1"/>
  <c r="D148" i="6"/>
  <c r="E148" i="6" s="1"/>
  <c r="D168" i="6"/>
  <c r="F168" i="6" s="1"/>
  <c r="D180" i="6"/>
  <c r="F180" i="6" s="1"/>
  <c r="D71" i="6"/>
  <c r="E71" i="6" s="1"/>
  <c r="D123" i="6"/>
  <c r="E123" i="6" s="1"/>
  <c r="D127" i="6"/>
  <c r="E127" i="6" s="1"/>
  <c r="D134" i="6"/>
  <c r="E134" i="6" s="1"/>
  <c r="D139" i="6"/>
  <c r="F139" i="6" s="1"/>
  <c r="D143" i="6"/>
  <c r="E143" i="6" s="1"/>
  <c r="D144" i="6"/>
  <c r="F144" i="6" s="1"/>
  <c r="D149" i="6"/>
  <c r="E149" i="6" s="1"/>
  <c r="D9" i="6"/>
  <c r="E9" i="6" s="1"/>
  <c r="D24" i="6"/>
  <c r="E24" i="6" s="1"/>
  <c r="D39" i="6"/>
  <c r="E39" i="6" s="1"/>
  <c r="D51" i="6"/>
  <c r="E51" i="6" s="1"/>
  <c r="D59" i="6"/>
  <c r="E59" i="6" s="1"/>
  <c r="D66" i="6"/>
  <c r="E66" i="6" s="1"/>
  <c r="D84" i="6"/>
  <c r="F84" i="6" s="1"/>
  <c r="D109" i="6"/>
  <c r="E109" i="6" s="1"/>
  <c r="E112" i="6"/>
  <c r="D119" i="6"/>
  <c r="F119" i="6" s="1"/>
  <c r="D73" i="6"/>
  <c r="E73" i="6" s="1"/>
  <c r="E86" i="6"/>
  <c r="D102" i="6"/>
  <c r="F102" i="6" s="1"/>
  <c r="D105" i="6"/>
  <c r="E105" i="6" s="1"/>
  <c r="D122" i="6"/>
  <c r="F122" i="6" s="1"/>
  <c r="D125" i="6"/>
  <c r="F125" i="6" s="1"/>
  <c r="D128" i="6"/>
  <c r="F128" i="6" s="1"/>
  <c r="D133" i="6"/>
  <c r="F133" i="6" s="1"/>
  <c r="D137" i="6"/>
  <c r="F137" i="6" s="1"/>
  <c r="D146" i="6"/>
  <c r="E146" i="6" s="1"/>
  <c r="F6" i="4"/>
  <c r="D21" i="6"/>
  <c r="F21" i="6" s="1"/>
  <c r="D35" i="6"/>
  <c r="F35" i="6" s="1"/>
  <c r="D64" i="6"/>
  <c r="E64" i="6" s="1"/>
  <c r="D82" i="6"/>
  <c r="E82" i="6" s="1"/>
  <c r="F86" i="6"/>
  <c r="D97" i="6"/>
  <c r="F97" i="6" s="1"/>
  <c r="F112" i="6"/>
  <c r="F56" i="6"/>
  <c r="D77" i="6"/>
  <c r="F77" i="6" s="1"/>
  <c r="D89" i="6"/>
  <c r="E89" i="6" s="1"/>
  <c r="D107" i="6"/>
  <c r="E107" i="6" s="1"/>
  <c r="D113" i="6"/>
  <c r="F113" i="6" s="1"/>
  <c r="D115" i="6"/>
  <c r="F115" i="6" s="1"/>
  <c r="D118" i="6"/>
  <c r="F118" i="6" s="1"/>
  <c r="D124" i="6"/>
  <c r="F124" i="6" s="1"/>
  <c r="D130" i="6"/>
  <c r="F130" i="6" s="1"/>
  <c r="D132" i="6"/>
  <c r="E132" i="6" s="1"/>
  <c r="D140" i="6"/>
  <c r="F140" i="6" s="1"/>
  <c r="F186" i="3"/>
  <c r="B186" i="6" s="1"/>
  <c r="D17" i="6"/>
  <c r="F17" i="6" s="1"/>
  <c r="D31" i="6"/>
  <c r="F31" i="6" s="1"/>
  <c r="D47" i="6"/>
  <c r="F47" i="6" s="1"/>
  <c r="D55" i="6"/>
  <c r="F55" i="6" s="1"/>
  <c r="D63" i="6"/>
  <c r="F63" i="6" s="1"/>
  <c r="D70" i="6"/>
  <c r="E70" i="6" s="1"/>
  <c r="E72" i="6"/>
  <c r="D85" i="6"/>
  <c r="F85" i="6" s="1"/>
  <c r="D101" i="6"/>
  <c r="F101" i="6" s="1"/>
  <c r="E104" i="6"/>
  <c r="E122" i="6"/>
  <c r="F48" i="6"/>
  <c r="E48" i="6"/>
  <c r="D83" i="6"/>
  <c r="E83" i="6" s="1"/>
  <c r="D87" i="6"/>
  <c r="E87" i="6" s="1"/>
  <c r="D93" i="6"/>
  <c r="E93" i="6" s="1"/>
  <c r="D99" i="6"/>
  <c r="F99" i="6" s="1"/>
  <c r="F106" i="6"/>
  <c r="E106" i="6"/>
  <c r="D110" i="6"/>
  <c r="E110" i="6" s="1"/>
  <c r="F117" i="6"/>
  <c r="D121" i="6"/>
  <c r="E121" i="6" s="1"/>
  <c r="F126" i="6"/>
  <c r="E126" i="6"/>
  <c r="D131" i="6"/>
  <c r="E131" i="6" s="1"/>
  <c r="D135" i="6"/>
  <c r="E135" i="6" s="1"/>
  <c r="D138" i="6"/>
  <c r="E138" i="6" s="1"/>
  <c r="D141" i="6"/>
  <c r="F141" i="6" s="1"/>
  <c r="D145" i="6"/>
  <c r="F145" i="6" s="1"/>
  <c r="D147" i="6"/>
  <c r="F147" i="6" s="1"/>
  <c r="D150" i="6"/>
  <c r="E150" i="6" s="1"/>
  <c r="D151" i="6"/>
  <c r="E151" i="6" s="1"/>
  <c r="D152" i="6"/>
  <c r="E152" i="6" s="1"/>
  <c r="D153" i="6"/>
  <c r="F153" i="6" s="1"/>
  <c r="E154" i="6"/>
  <c r="F154" i="6"/>
  <c r="D155" i="6"/>
  <c r="E155" i="6" s="1"/>
  <c r="D156" i="6"/>
  <c r="E156" i="6" s="1"/>
  <c r="D157" i="6"/>
  <c r="F157" i="6" s="1"/>
  <c r="D158" i="6"/>
  <c r="F158" i="6" s="1"/>
  <c r="D159" i="6"/>
  <c r="E159" i="6" s="1"/>
  <c r="D160" i="6"/>
  <c r="F160" i="6" s="1"/>
  <c r="D161" i="6"/>
  <c r="F161" i="6" s="1"/>
  <c r="D162" i="6"/>
  <c r="E162" i="6" s="1"/>
  <c r="D163" i="6"/>
  <c r="F163" i="6" s="1"/>
  <c r="D164" i="6"/>
  <c r="E164" i="6" s="1"/>
  <c r="D165" i="6"/>
  <c r="F165" i="6" s="1"/>
  <c r="D166" i="6"/>
  <c r="E166" i="6" s="1"/>
  <c r="D167" i="6"/>
  <c r="F167" i="6" s="1"/>
  <c r="D169" i="6"/>
  <c r="F169" i="6" s="1"/>
  <c r="D170" i="6"/>
  <c r="F170" i="6" s="1"/>
  <c r="D171" i="6"/>
  <c r="E171" i="6" s="1"/>
  <c r="D172" i="6"/>
  <c r="E172" i="6" s="1"/>
  <c r="D173" i="6"/>
  <c r="E173" i="6" s="1"/>
  <c r="E174" i="6"/>
  <c r="F174" i="6"/>
  <c r="D175" i="6"/>
  <c r="E175" i="6" s="1"/>
  <c r="D176" i="6"/>
  <c r="E176" i="6" s="1"/>
  <c r="D177" i="6"/>
  <c r="F177" i="6" s="1"/>
  <c r="D178" i="6"/>
  <c r="E178" i="6" s="1"/>
  <c r="D179" i="6"/>
  <c r="E179" i="6" s="1"/>
  <c r="D181" i="6"/>
  <c r="F181" i="6" s="1"/>
  <c r="D182" i="6"/>
  <c r="F182" i="6" s="1"/>
  <c r="D183" i="6"/>
  <c r="E183" i="6" s="1"/>
  <c r="D184" i="6"/>
  <c r="E184" i="6" s="1"/>
  <c r="F184" i="6"/>
  <c r="D185" i="6"/>
  <c r="E185" i="6" s="1"/>
  <c r="D13" i="6"/>
  <c r="E13" i="6" s="1"/>
  <c r="D27" i="6"/>
  <c r="E27" i="6" s="1"/>
  <c r="D43" i="6"/>
  <c r="E43" i="6" s="1"/>
  <c r="D52" i="6"/>
  <c r="F52" i="6" s="1"/>
  <c r="D60" i="6"/>
  <c r="F60" i="6" s="1"/>
  <c r="D67" i="6"/>
  <c r="F67" i="6" s="1"/>
  <c r="F72" i="6"/>
  <c r="D81" i="6"/>
  <c r="E81" i="6" s="1"/>
  <c r="D98" i="6"/>
  <c r="F98" i="6" s="1"/>
  <c r="F104" i="6"/>
  <c r="D114" i="6"/>
  <c r="F114" i="6" s="1"/>
  <c r="E117" i="6"/>
  <c r="D142" i="6"/>
  <c r="E142" i="6" s="1"/>
  <c r="F159" i="6" l="1"/>
  <c r="E35" i="6"/>
  <c r="F87" i="6"/>
  <c r="F88" i="6"/>
  <c r="E177" i="6"/>
  <c r="E125" i="6"/>
  <c r="F116" i="6"/>
  <c r="F28" i="6"/>
  <c r="E170" i="6"/>
  <c r="F155" i="6"/>
  <c r="E153" i="6"/>
  <c r="F39" i="6"/>
  <c r="F183" i="6"/>
  <c r="F49" i="6"/>
  <c r="E167" i="6"/>
  <c r="F110" i="6"/>
  <c r="E20" i="6"/>
  <c r="F70" i="6"/>
  <c r="F164" i="6"/>
  <c r="E21" i="6"/>
  <c r="F71" i="6"/>
  <c r="E57" i="6"/>
  <c r="E63" i="6"/>
  <c r="F171" i="6"/>
  <c r="E169" i="6"/>
  <c r="E139" i="6"/>
  <c r="E75" i="6"/>
  <c r="E54" i="6"/>
  <c r="E22" i="6"/>
  <c r="E101" i="6"/>
  <c r="E163" i="6"/>
  <c r="E95" i="6"/>
  <c r="E62" i="6"/>
  <c r="E33" i="6"/>
  <c r="F172" i="6"/>
  <c r="E157" i="6"/>
  <c r="F121" i="6"/>
  <c r="F66" i="6"/>
  <c r="E129" i="6"/>
  <c r="E100" i="6"/>
  <c r="F53" i="6"/>
  <c r="F19" i="6"/>
  <c r="E147" i="6"/>
  <c r="E130" i="6"/>
  <c r="E115" i="6"/>
  <c r="F105" i="6"/>
  <c r="F123" i="6"/>
  <c r="E44" i="6"/>
  <c r="F7" i="6"/>
  <c r="F107" i="6"/>
  <c r="E74" i="6"/>
  <c r="F38" i="6"/>
  <c r="E17" i="6"/>
  <c r="F156" i="6"/>
  <c r="F83" i="6"/>
  <c r="E133" i="6"/>
  <c r="F143" i="6"/>
  <c r="E119" i="6"/>
  <c r="F120" i="6"/>
  <c r="F76" i="6"/>
  <c r="F26" i="6"/>
  <c r="E46" i="6"/>
  <c r="F12" i="6"/>
  <c r="F29" i="6"/>
  <c r="F173" i="6"/>
  <c r="E144" i="6"/>
  <c r="F127" i="6"/>
  <c r="E180" i="6"/>
  <c r="F40" i="6"/>
  <c r="E30" i="6"/>
  <c r="F93" i="6"/>
  <c r="F59" i="6"/>
  <c r="F24" i="6"/>
  <c r="E113" i="6"/>
  <c r="F89" i="6"/>
  <c r="E102" i="6"/>
  <c r="F73" i="6"/>
  <c r="E161" i="6"/>
  <c r="F78" i="6"/>
  <c r="E34" i="6"/>
  <c r="F23" i="6"/>
  <c r="E140" i="6"/>
  <c r="E168" i="6"/>
  <c r="E94" i="6"/>
  <c r="E47" i="6"/>
  <c r="E158" i="6"/>
  <c r="F135" i="6"/>
  <c r="F9" i="6"/>
  <c r="F134" i="6"/>
  <c r="F91" i="6"/>
  <c r="E80" i="6"/>
  <c r="F65" i="6"/>
  <c r="E37" i="6"/>
  <c r="F50" i="6"/>
  <c r="F32" i="6"/>
  <c r="E42" i="6"/>
  <c r="F25" i="6"/>
  <c r="E16" i="6"/>
  <c r="F185" i="6"/>
  <c r="E182" i="6"/>
  <c r="F178" i="6"/>
  <c r="E160" i="6"/>
  <c r="F150" i="6"/>
  <c r="E98" i="6"/>
  <c r="F64" i="6"/>
  <c r="F43" i="6"/>
  <c r="F109" i="6"/>
  <c r="E141" i="6"/>
  <c r="E85" i="6"/>
  <c r="E55" i="6"/>
  <c r="E31" i="6"/>
  <c r="E181" i="6"/>
  <c r="F179" i="6"/>
  <c r="F176" i="6"/>
  <c r="F175" i="6"/>
  <c r="E165" i="6"/>
  <c r="F152" i="6"/>
  <c r="F151" i="6"/>
  <c r="E145" i="6"/>
  <c r="F131" i="6"/>
  <c r="F13" i="6"/>
  <c r="F132" i="6"/>
  <c r="E124" i="6"/>
  <c r="F81" i="6"/>
  <c r="F51" i="6"/>
  <c r="E84" i="6"/>
  <c r="F146" i="6"/>
  <c r="E137" i="6"/>
  <c r="E128" i="6"/>
  <c r="E60" i="6"/>
  <c r="F149" i="6"/>
  <c r="E97" i="6"/>
  <c r="F148" i="6"/>
  <c r="F136" i="6"/>
  <c r="E111" i="6"/>
  <c r="F103" i="6"/>
  <c r="E96" i="6"/>
  <c r="F92" i="6"/>
  <c r="E90" i="6"/>
  <c r="F68" i="6"/>
  <c r="F45" i="6"/>
  <c r="F18" i="6"/>
  <c r="E14" i="6"/>
  <c r="F61" i="6"/>
  <c r="F36" i="6"/>
  <c r="F10" i="6"/>
  <c r="E67" i="6"/>
  <c r="E114" i="6"/>
  <c r="E52" i="6"/>
  <c r="F27" i="6"/>
  <c r="E108" i="6"/>
  <c r="E79" i="6"/>
  <c r="E69" i="6"/>
  <c r="E58" i="6"/>
  <c r="E11" i="6"/>
  <c r="E41" i="6"/>
  <c r="F15" i="6"/>
  <c r="F166" i="6"/>
  <c r="F162" i="6"/>
  <c r="F138" i="6"/>
  <c r="E99" i="6"/>
  <c r="E118" i="6"/>
  <c r="E77" i="6"/>
  <c r="F189" i="4"/>
  <c r="C186" i="6" s="1"/>
  <c r="D186" i="6" s="1"/>
  <c r="E186" i="6" s="1"/>
  <c r="C6" i="6"/>
  <c r="D6" i="6" s="1"/>
  <c r="F142" i="6"/>
  <c r="F82" i="6"/>
  <c r="E8" i="6"/>
  <c r="E6" i="6" l="1"/>
  <c r="F6" i="6"/>
</calcChain>
</file>

<file path=xl/sharedStrings.xml><?xml version="1.0" encoding="utf-8"?>
<sst xmlns="http://schemas.openxmlformats.org/spreadsheetml/2006/main" count="1553" uniqueCount="651">
  <si>
    <t>PARÂMETROS DO PROJETO — SOLONÓPOLE/CE</t>
  </si>
  <si>
    <t>População de Projeto P (hab)</t>
  </si>
  <si>
    <t>← edite aqui se necessário</t>
  </si>
  <si>
    <t>Consumo per capita q (L/hab.dia)</t>
  </si>
  <si>
    <t>Coef. dia maior consumo K1</t>
  </si>
  <si>
    <t>Coef. hora maior consumo K2</t>
  </si>
  <si>
    <t>Área Total do Projeto (m²)</t>
  </si>
  <si>
    <t>Comprimento Total da Rede (m)</t>
  </si>
  <si>
    <t>Vazão Média Qm (L/s)</t>
  </si>
  <si>
    <t>Vazão Máx. Diária Qmd (L/s)</t>
  </si>
  <si>
    <t>Vazão Máx. Horária Qmh (L/s)</t>
  </si>
  <si>
    <t>PROJEÇÃO POPULACIONAL — MÉTODO TAXA DECRESCENTE DE CRESCIMENTO</t>
  </si>
  <si>
    <t>Ano</t>
  </si>
  <si>
    <t>Pop. Total (hab)</t>
  </si>
  <si>
    <t>Qm (L/s)</t>
  </si>
  <si>
    <t>Qmd = K1·Qm (L/s)</t>
  </si>
  <si>
    <t>Qmh = K1·K2·Qm (L/s)</t>
  </si>
  <si>
    <t>MÉTODO DA ÁREA NODAL</t>
  </si>
  <si>
    <t>Obs: Pop. do Nó e Vazão calculadas por fórmulas referenciando aba 'Dados'</t>
  </si>
  <si>
    <t>Nó</t>
  </si>
  <si>
    <t>Área Nodal (m²)</t>
  </si>
  <si>
    <t>Área Nodal (ha)</t>
  </si>
  <si>
    <t>% Área Total</t>
  </si>
  <si>
    <t>Pop. do Nó (hab)</t>
  </si>
  <si>
    <t>Vazão Nodal Qmh (L/s)</t>
  </si>
  <si>
    <t>Obs.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</si>
  <si>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</si>
  <si>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</si>
  <si>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</si>
  <si>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</si>
  <si>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</si>
  <si>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</si>
  <si>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</si>
  <si>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</si>
  <si>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</si>
  <si>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</si>
  <si>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</si>
  <si>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</si>
  <si>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</si>
  <si>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</si>
  <si>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</si>
  <si>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</si>
  <si>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</si>
  <si>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</si>
  <si>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</si>
  <si>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</si>
  <si>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</si>
  <si>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</si>
  <si>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</si>
  <si>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</si>
  <si>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</si>
  <si>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</si>
  <si>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</si>
  <si>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</si>
  <si>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N29</t>
  </si>
  <si>
    <t>N30</t>
  </si>
  <si>
    <t>N31</t>
  </si>
  <si>
    <t>N32</t>
  </si>
  <si>
    <t>N33</t>
  </si>
  <si>
    <t>N34</t>
  </si>
  <si>
    <t>N35</t>
  </si>
  <si>
    <t>N36</t>
  </si>
  <si>
    <t>N37</t>
  </si>
  <si>
    <t>N38</t>
  </si>
  <si>
    <t>N39</t>
  </si>
  <si>
    <t>N40</t>
  </si>
  <si>
    <t>N41</t>
  </si>
  <si>
    <t>N42</t>
  </si>
  <si>
    <t>N43</t>
  </si>
  <si>
    <t>N44</t>
  </si>
  <si>
    <t>N45</t>
  </si>
  <si>
    <t>N46</t>
  </si>
  <si>
    <t>N47</t>
  </si>
  <si>
    <t>N48</t>
  </si>
  <si>
    <t>N49</t>
  </si>
  <si>
    <t>N50</t>
  </si>
  <si>
    <t>N51</t>
  </si>
  <si>
    <t>N52</t>
  </si>
  <si>
    <t>N53</t>
  </si>
  <si>
    <t>N54</t>
  </si>
  <si>
    <t>N55</t>
  </si>
  <si>
    <t>N56</t>
  </si>
  <si>
    <t>N57</t>
  </si>
  <si>
    <t>N58</t>
  </si>
  <si>
    <t>N59</t>
  </si>
  <si>
    <t>N60</t>
  </si>
  <si>
    <t>N61</t>
  </si>
  <si>
    <t>N62</t>
  </si>
  <si>
    <t>N63</t>
  </si>
  <si>
    <t>N64</t>
  </si>
  <si>
    <t>N65</t>
  </si>
  <si>
    <t>N66</t>
  </si>
  <si>
    <t>N67</t>
  </si>
  <si>
    <t>N68</t>
  </si>
  <si>
    <t>N69</t>
  </si>
  <si>
    <t>N70</t>
  </si>
  <si>
    <t>N71</t>
  </si>
  <si>
    <t>N72</t>
  </si>
  <si>
    <t>N73</t>
  </si>
  <si>
    <t>N74</t>
  </si>
  <si>
    <t>N75</t>
  </si>
  <si>
    <t>N76</t>
  </si>
  <si>
    <t>N77</t>
  </si>
  <si>
    <t>N78</t>
  </si>
  <si>
    <t>N79</t>
  </si>
  <si>
    <t>N80</t>
  </si>
  <si>
    <t>N81</t>
  </si>
  <si>
    <t>N82</t>
  </si>
  <si>
    <t>N83</t>
  </si>
  <si>
    <t>N84</t>
  </si>
  <si>
    <t>N85</t>
  </si>
  <si>
    <t>N86</t>
  </si>
  <si>
    <t>N87</t>
  </si>
  <si>
    <t>N88</t>
  </si>
  <si>
    <t>N89</t>
  </si>
  <si>
    <t>N90</t>
  </si>
  <si>
    <t>N91</t>
  </si>
  <si>
    <t>N92</t>
  </si>
  <si>
    <t>N93</t>
  </si>
  <si>
    <t>N94</t>
  </si>
  <si>
    <t>N95</t>
  </si>
  <si>
    <t>N96</t>
  </si>
  <si>
    <t>N97</t>
  </si>
  <si>
    <t>N98</t>
  </si>
  <si>
    <t>N99</t>
  </si>
  <si>
    <t>N100</t>
  </si>
  <si>
    <t>N101</t>
  </si>
  <si>
    <t>N102</t>
  </si>
  <si>
    <t>N103</t>
  </si>
  <si>
    <t>N104</t>
  </si>
  <si>
    <t>N105</t>
  </si>
  <si>
    <t>N106</t>
  </si>
  <si>
    <t>N107</t>
  </si>
  <si>
    <t>N108</t>
  </si>
  <si>
    <t>N109</t>
  </si>
  <si>
    <t>N110</t>
  </si>
  <si>
    <t>N111</t>
  </si>
  <si>
    <t>N112</t>
  </si>
  <si>
    <t>N113</t>
  </si>
  <si>
    <t>N114</t>
  </si>
  <si>
    <t>N115</t>
  </si>
  <si>
    <t>N116</t>
  </si>
  <si>
    <t>N117</t>
  </si>
  <si>
    <t>N118</t>
  </si>
  <si>
    <t>N119</t>
  </si>
  <si>
    <t>N120</t>
  </si>
  <si>
    <t>N121</t>
  </si>
  <si>
    <t>N122</t>
  </si>
  <si>
    <t>N123</t>
  </si>
  <si>
    <t>N124</t>
  </si>
  <si>
    <t>N125</t>
  </si>
  <si>
    <t>N126</t>
  </si>
  <si>
    <t>N127</t>
  </si>
  <si>
    <t>N128</t>
  </si>
  <si>
    <t>N129</t>
  </si>
  <si>
    <t>N130</t>
  </si>
  <si>
    <t>N131</t>
  </si>
  <si>
    <t>N132</t>
  </si>
  <si>
    <t>N133</t>
  </si>
  <si>
    <t>N134</t>
  </si>
  <si>
    <t>N135</t>
  </si>
  <si>
    <t>N136</t>
  </si>
  <si>
    <t>N137</t>
  </si>
  <si>
    <t>N138</t>
  </si>
  <si>
    <t>N139</t>
  </si>
  <si>
    <t>N140</t>
  </si>
  <si>
    <t>N141</t>
  </si>
  <si>
    <t>N142</t>
  </si>
  <si>
    <t>N143</t>
  </si>
  <si>
    <t>N144</t>
  </si>
  <si>
    <t>N145</t>
  </si>
  <si>
    <t>N146</t>
  </si>
  <si>
    <t>N147</t>
  </si>
  <si>
    <t>N148</t>
  </si>
  <si>
    <t>N149</t>
  </si>
  <si>
    <t>N150</t>
  </si>
  <si>
    <t>N151</t>
  </si>
  <si>
    <t>N152</t>
  </si>
  <si>
    <t>N153</t>
  </si>
  <si>
    <t>N154</t>
  </si>
  <si>
    <t>N155</t>
  </si>
  <si>
    <t>N156</t>
  </si>
  <si>
    <t>N157</t>
  </si>
  <si>
    <t>N158</t>
  </si>
  <si>
    <t>N159</t>
  </si>
  <si>
    <t>N160</t>
  </si>
  <si>
    <t>N161</t>
  </si>
  <si>
    <t>N162</t>
  </si>
  <si>
    <t>N163</t>
  </si>
  <si>
    <t>N164</t>
  </si>
  <si>
    <t>N165</t>
  </si>
  <si>
    <t>N166</t>
  </si>
  <si>
    <t>N167</t>
  </si>
  <si>
    <t>N168</t>
  </si>
  <si>
    <t>N169</t>
  </si>
  <si>
    <t>N170</t>
  </si>
  <si>
    <t>N171</t>
  </si>
  <si>
    <t>2 polígonos somados</t>
  </si>
  <si>
    <t>N172</t>
  </si>
  <si>
    <t>N173</t>
  </si>
  <si>
    <t>N174</t>
  </si>
  <si>
    <t>N175</t>
  </si>
  <si>
    <t>N176</t>
  </si>
  <si>
    <t>N177</t>
  </si>
  <si>
    <t>N178</t>
  </si>
  <si>
    <t>N179</t>
  </si>
  <si>
    <t>N180</t>
  </si>
  <si>
    <t>N181</t>
  </si>
  <si>
    <t>N182</t>
  </si>
  <si>
    <t>N183</t>
  </si>
  <si>
    <t>TOTAL</t>
  </si>
  <si>
    <t>100%</t>
  </si>
  <si>
    <t>MÉTODO LINEAR DO NÓ</t>
  </si>
  <si>
    <t>Trechos Adjacentes</t>
  </si>
  <si>
    <t>Comp. Nodal (m)</t>
  </si>
  <si>
    <t>% Comp. Total</t>
  </si>
  <si>
    <t>T200, T201, T8, T9</t>
  </si>
  <si>
    <t>T1, T201, T37, T40</t>
  </si>
  <si>
    <t>T1, T209, T210, T44</t>
  </si>
  <si>
    <t>T168, T44, T45, T74</t>
  </si>
  <si>
    <t>T169, T170, T45, T46</t>
  </si>
  <si>
    <t>T170, T198, T2</t>
  </si>
  <si>
    <t>T198, T209, T8</t>
  </si>
  <si>
    <t>T2, T3, T6</t>
  </si>
  <si>
    <t>T5, T6, T7</t>
  </si>
  <si>
    <t>T17, T4, T5</t>
  </si>
  <si>
    <t>T16, T17, T19, T20</t>
  </si>
  <si>
    <t>T20, T21, T234, T28</t>
  </si>
  <si>
    <t>T21, T22, T233</t>
  </si>
  <si>
    <t>T108, T232, T233</t>
  </si>
  <si>
    <t>T232, T234, T29</t>
  </si>
  <si>
    <t>T139, T15, T16</t>
  </si>
  <si>
    <t>T139, T235, T29</t>
  </si>
  <si>
    <t>T137, T138, T235</t>
  </si>
  <si>
    <t>T135, T136, T137</t>
  </si>
  <si>
    <t>T135, T199, T207</t>
  </si>
  <si>
    <t>T12, T13, T205</t>
  </si>
  <si>
    <t>T12, T204, T208</t>
  </si>
  <si>
    <t>T11, T203, T204</t>
  </si>
  <si>
    <t>T202, T203, T33</t>
  </si>
  <si>
    <t>T10, T11, T9</t>
  </si>
  <si>
    <t>T38, T39, T42, T43</t>
  </si>
  <si>
    <t>T40, T41, T42</t>
  </si>
  <si>
    <t>T202, T31, T41</t>
  </si>
  <si>
    <t>T31, T32, T39</t>
  </si>
  <si>
    <t>T32, T33, T34, T35</t>
  </si>
  <si>
    <t>T246, T247, T73</t>
  </si>
  <si>
    <t>T140, T211, T212</t>
  </si>
  <si>
    <t>T140, T192, T243</t>
  </si>
  <si>
    <t>T212, T247, T74</t>
  </si>
  <si>
    <t>T151, T168, T243</t>
  </si>
  <si>
    <t>T151, T152, T169</t>
  </si>
  <si>
    <t>T152, T153, T171</t>
  </si>
  <si>
    <t>T171, T172, T46, T47</t>
  </si>
  <si>
    <t>T172, T18, T3, T4</t>
  </si>
  <si>
    <t>T18, T19, T25</t>
  </si>
  <si>
    <t>T24, T25, T27</t>
  </si>
  <si>
    <t>T26, T27, T28</t>
  </si>
  <si>
    <t>T22, T23, T26, T30</t>
  </si>
  <si>
    <t>T23, T24, T61</t>
  </si>
  <si>
    <t>T61, T62, T63</t>
  </si>
  <si>
    <t>T47, T48, T62</t>
  </si>
  <si>
    <t>T251, T63, T75</t>
  </si>
  <si>
    <t>T197, T251, T57</t>
  </si>
  <si>
    <t>T244, T57, T69</t>
  </si>
  <si>
    <t>T197, T249, T58</t>
  </si>
  <si>
    <t>T58, T59, T81</t>
  </si>
  <si>
    <t>T81, T82, T94</t>
  </si>
  <si>
    <t>T92, T93, T94</t>
  </si>
  <si>
    <t>T83, T84, T96</t>
  </si>
  <si>
    <t>T90, T91, T96</t>
  </si>
  <si>
    <t>T87, T88, T90</t>
  </si>
  <si>
    <t>T88, T89, T97</t>
  </si>
  <si>
    <t>T84, T85, T89</t>
  </si>
  <si>
    <t>T115, T85, T86</t>
  </si>
  <si>
    <t>T225, T86, T97</t>
  </si>
  <si>
    <t>T109, T110, T87</t>
  </si>
  <si>
    <t>T109, T225, T98</t>
  </si>
  <si>
    <t>T241, T98, T99</t>
  </si>
  <si>
    <t>T110, T111, T226</t>
  </si>
  <si>
    <t>T113, T227</t>
  </si>
  <si>
    <t>T101, T228, T229</t>
  </si>
  <si>
    <t>T100, T101, T241</t>
  </si>
  <si>
    <t>T100, T242, T99</t>
  </si>
  <si>
    <t>T102, T103, T229</t>
  </si>
  <si>
    <t>T103, T104, T230</t>
  </si>
  <si>
    <t>T107, T230, T231</t>
  </si>
  <si>
    <t>T105, T106, T231</t>
  </si>
  <si>
    <t>T104, T105, T108</t>
  </si>
  <si>
    <t>T127, T128, T223</t>
  </si>
  <si>
    <t>T126, T127, T147</t>
  </si>
  <si>
    <t>T122, T123, T147, T148</t>
  </si>
  <si>
    <t>T131, T148, T149</t>
  </si>
  <si>
    <t>T121, T122, T221</t>
  </si>
  <si>
    <t>T125, T126, T142</t>
  </si>
  <si>
    <t>T124, T125, T141</t>
  </si>
  <si>
    <t>T116, T117, T124</t>
  </si>
  <si>
    <t>T119, T141, T145</t>
  </si>
  <si>
    <t>T118, T119, T129</t>
  </si>
  <si>
    <t>T117, T118, T132</t>
  </si>
  <si>
    <t>T143, T150, T222</t>
  </si>
  <si>
    <t>T144, T146, T248</t>
  </si>
  <si>
    <t>T129, T144, T236</t>
  </si>
  <si>
    <t>T133, T237, T238</t>
  </si>
  <si>
    <t>T132, T133, T239</t>
  </si>
  <si>
    <t>T134, T224, T237</t>
  </si>
  <si>
    <t>T114, T115, T224</t>
  </si>
  <si>
    <t>T130, T149, T220</t>
  </si>
  <si>
    <t>T220, T79, T80</t>
  </si>
  <si>
    <t>T219, T78, T79</t>
  </si>
  <si>
    <t>T159, T178, T80</t>
  </si>
  <si>
    <t>T177, T178, T182</t>
  </si>
  <si>
    <t>T182, T183, T184</t>
  </si>
  <si>
    <t>T184, T185, T189</t>
  </si>
  <si>
    <t>T180, T181, T183</t>
  </si>
  <si>
    <t>T179, T180, T188</t>
  </si>
  <si>
    <t>T187, T188, T217</t>
  </si>
  <si>
    <t>T175, T176, T217</t>
  </si>
  <si>
    <t>T176, T177, T179</t>
  </si>
  <si>
    <t>T173, T174, T175</t>
  </si>
  <si>
    <t>T158, T159, T163</t>
  </si>
  <si>
    <t>T158, T189, T196</t>
  </si>
  <si>
    <t>T157, T164, T196</t>
  </si>
  <si>
    <t>T156, T157, T190</t>
  </si>
  <si>
    <t>T154, T156, T55</t>
  </si>
  <si>
    <t>T154, T155, T214</t>
  </si>
  <si>
    <t>T181, T186, T215, T216</t>
  </si>
  <si>
    <t>T185, T186, T190</t>
  </si>
  <si>
    <t>T167, T49, T50</t>
  </si>
  <si>
    <t>T155, T167, T213</t>
  </si>
  <si>
    <t>T50, T51, T68</t>
  </si>
  <si>
    <t>T68, T75, T76</t>
  </si>
  <si>
    <t>T245, T51, T72</t>
  </si>
  <si>
    <t>T195, T245, T55</t>
  </si>
  <si>
    <t>T162, T195, T54</t>
  </si>
  <si>
    <t>T193, T194, T52, T54</t>
  </si>
  <si>
    <t>T194, T240, T53</t>
  </si>
  <si>
    <t>T191, T53, T56</t>
  </si>
  <si>
    <t>T244, T56, T60</t>
  </si>
  <si>
    <t>T59, T60, T64</t>
  </si>
  <si>
    <t>T64, T65, T66</t>
  </si>
  <si>
    <t>T191, T238, T66, T67</t>
  </si>
  <si>
    <t>T239, T240, T67</t>
  </si>
  <si>
    <t>T161, T162, T165</t>
  </si>
  <si>
    <t>T160, T161, T163</t>
  </si>
  <si>
    <t>T160, T77, T78</t>
  </si>
  <si>
    <t>T193, T236, T77</t>
  </si>
  <si>
    <t>T82, T83, T95</t>
  </si>
  <si>
    <t>T91, T92, T95</t>
  </si>
  <si>
    <t>T52, T71, T72, T76</t>
  </si>
  <si>
    <t>T153, T166, T213</t>
  </si>
  <si>
    <t>T166, T48, T49</t>
  </si>
  <si>
    <t>T114, T116</t>
  </si>
  <si>
    <t>T128</t>
  </si>
  <si>
    <t>T223</t>
  </si>
  <si>
    <t>T123</t>
  </si>
  <si>
    <t>T120, T121, T142, T143</t>
  </si>
  <si>
    <t>T120, T145, T146</t>
  </si>
  <si>
    <t>T150, T219, T221</t>
  </si>
  <si>
    <t>T131</t>
  </si>
  <si>
    <t>T130</t>
  </si>
  <si>
    <t>T218</t>
  </si>
  <si>
    <t>T174</t>
  </si>
  <si>
    <t>T187</t>
  </si>
  <si>
    <t>T216</t>
  </si>
  <si>
    <t>T214, T215</t>
  </si>
  <si>
    <t>T134</t>
  </si>
  <si>
    <t>T65</t>
  </si>
  <si>
    <t>T93</t>
  </si>
  <si>
    <t>T226</t>
  </si>
  <si>
    <t>T250</t>
  </si>
  <si>
    <t>T242</t>
  </si>
  <si>
    <t>T102</t>
  </si>
  <si>
    <t>T107</t>
  </si>
  <si>
    <t>T106</t>
  </si>
  <si>
    <t>T138, T207</t>
  </si>
  <si>
    <t>T199, T208</t>
  </si>
  <si>
    <t>T13, T136, T14</t>
  </si>
  <si>
    <t>T14, T15, T206</t>
  </si>
  <si>
    <t>T7</t>
  </si>
  <si>
    <t>T43</t>
  </si>
  <si>
    <t>T34</t>
  </si>
  <si>
    <t>T35, T36</t>
  </si>
  <si>
    <t>T36</t>
  </si>
  <si>
    <t>T10</t>
  </si>
  <si>
    <t>T192</t>
  </si>
  <si>
    <t>T37, T38</t>
  </si>
  <si>
    <t>T111, T112</t>
  </si>
  <si>
    <t>T112, T113</t>
  </si>
  <si>
    <t>T30</t>
  </si>
  <si>
    <t>T205, T206</t>
  </si>
  <si>
    <t>T173, T218</t>
  </si>
  <si>
    <t>T227, T228</t>
  </si>
  <si>
    <t>T211, T73</t>
  </si>
  <si>
    <t>T210, T246</t>
  </si>
  <si>
    <t>T249, T250</t>
  </si>
  <si>
    <t>T70, T71</t>
  </si>
  <si>
    <t>T69, T70</t>
  </si>
  <si>
    <t>T222, T248</t>
  </si>
  <si>
    <t>TRECHOS DA REDE</t>
  </si>
  <si>
    <t>Trecho</t>
  </si>
  <si>
    <t>Nó Inicial</t>
  </si>
  <si>
    <t>Nó Final</t>
  </si>
  <si>
    <t>Comprimento (m)</t>
  </si>
  <si>
    <t>L/2 (m)</t>
  </si>
  <si>
    <t>T1</t>
  </si>
  <si>
    <t>T2</t>
  </si>
  <si>
    <t>T3</t>
  </si>
  <si>
    <t>T4</t>
  </si>
  <si>
    <t>T5</t>
  </si>
  <si>
    <t>T6</t>
  </si>
  <si>
    <t>T8</t>
  </si>
  <si>
    <t>T9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</si>
  <si>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</si>
  <si>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</si>
  <si>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</si>
  <si>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</si>
  <si>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</si>
  <si>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</si>
  <si>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</si>
  <si>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</si>
  <si>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</si>
  <si>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</si>
  <si>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</si>
  <si>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</si>
  <si>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</si>
  <si>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</si>
  <si>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</si>
  <si>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</si>
  <si>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</si>
  <si>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</si>
  <si>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</si>
  <si>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T31</t>
  </si>
  <si>
    <t>T32</t>
  </si>
  <si>
    <t>T33</t>
  </si>
  <si>
    <t>T35</t>
  </si>
  <si>
    <t>T37</t>
  </si>
  <si>
    <t>T38</t>
  </si>
  <si>
    <t>T39</t>
  </si>
  <si>
    <t>T40</t>
  </si>
  <si>
    <t>T41</t>
  </si>
  <si>
    <t>T42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</si>
  <si>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</si>
  <si>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</si>
  <si>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</si>
  <si>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</si>
  <si>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</si>
  <si>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</si>
  <si>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</si>
  <si>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</si>
  <si>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</si>
  <si>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</si>
  <si>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</si>
  <si>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</si>
  <si>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</si>
  <si>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</si>
  <si>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</si>
  <si>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</si>
  <si>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</si>
  <si>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</si>
  <si>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</si>
  <si>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</si>
  <si>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</si>
  <si>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</si>
  <si>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</si>
  <si>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</si>
  <si>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</si>
  <si>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</si>
  <si>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</si>
  <si>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</si>
  <si>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</si>
  <si>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</si>
  <si>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</si>
  <si>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</si>
  <si>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</si>
  <si>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</si>
  <si>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</si>
  <si>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</si>
  <si>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</si>
  <si>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</si>
  <si>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</si>
  <si>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</si>
  <si>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</si>
  <si>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</si>
  <si>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</si>
  <si>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</si>
  <si>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</si>
  <si>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</si>
  <si>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</si>
  <si>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</si>
  <si>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T94</t>
  </si>
  <si>
    <t>T95</t>
  </si>
  <si>
    <t>T96</t>
  </si>
  <si>
    <t>T97</t>
  </si>
  <si>
    <t>T98</t>
  </si>
  <si>
    <t>T99</t>
  </si>
  <si>
    <t>T100</t>
  </si>
  <si>
    <t>T101</t>
  </si>
  <si>
    <t>T103</t>
  </si>
  <si>
    <t>T104</t>
  </si>
  <si>
    <t>T105</t>
  </si>
  <si>
    <t>T108</t>
  </si>
  <si>
    <t>T109</t>
  </si>
  <si>
    <t>T110</t>
  </si>
  <si>
    <t>T111</t>
  </si>
  <si>
    <t>T112</t>
  </si>
  <si>
    <t>T113</t>
  </si>
  <si>
    <t>T114</t>
  </si>
  <si>
    <t>T115</t>
  </si>
  <si>
    <t>T116</t>
  </si>
  <si>
    <t>T117</t>
  </si>
  <si>
    <t>T118</t>
  </si>
  <si>
    <t>T119</t>
  </si>
  <si>
    <t>T120</t>
  </si>
  <si>
    <t>T121</t>
  </si>
  <si>
    <t>T122</t>
  </si>
  <si>
    <t>T124</t>
  </si>
  <si>
    <t>T125</t>
  </si>
  <si>
    <t>T126</t>
  </si>
  <si>
    <t>T127</t>
  </si>
  <si>
    <t>T129</t>
  </si>
  <si>
    <t>T132</t>
  </si>
  <si>
    <t>T133</t>
  </si>
  <si>
    <t>T135</t>
  </si>
  <si>
    <t>T136</t>
  </si>
  <si>
    <t>T137</t>
  </si>
  <si>
    <t>T138</t>
  </si>
  <si>
    <t>T139</t>
  </si>
  <si>
    <t>T140</t>
  </si>
  <si>
    <t>T141</t>
  </si>
  <si>
    <t>T142</t>
  </si>
  <si>
    <t>T143</t>
  </si>
  <si>
    <t>T144</t>
  </si>
  <si>
    <t>T145</t>
  </si>
  <si>
    <t>T146</t>
  </si>
  <si>
    <t>T147</t>
  </si>
  <si>
    <t>T148</t>
  </si>
  <si>
    <t>T149</t>
  </si>
  <si>
    <t>T150</t>
  </si>
  <si>
    <t>T151</t>
  </si>
  <si>
    <t>T152</t>
  </si>
  <si>
    <t>T153</t>
  </si>
  <si>
    <t>T154</t>
  </si>
  <si>
    <t>T155</t>
  </si>
  <si>
    <t>T156</t>
  </si>
  <si>
    <t>T157</t>
  </si>
  <si>
    <t>T158</t>
  </si>
  <si>
    <t>T159</t>
  </si>
  <si>
    <t>T160</t>
  </si>
  <si>
    <t>T161</t>
  </si>
  <si>
    <t>T162</t>
  </si>
  <si>
    <t>T163</t>
  </si>
  <si>
    <t>T164</t>
  </si>
  <si>
    <t>—</t>
  </si>
  <si>
    <t>T165</t>
  </si>
  <si>
    <t>T166</t>
  </si>
  <si>
    <t>T167</t>
  </si>
  <si>
    <t>T168</t>
  </si>
  <si>
    <t>T169</t>
  </si>
  <si>
    <t>T170</t>
  </si>
  <si>
    <t>T171</t>
  </si>
  <si>
    <t>T172</t>
  </si>
  <si>
    <t>T173</t>
  </si>
  <si>
    <t>T175</t>
  </si>
  <si>
    <t>T176</t>
  </si>
  <si>
    <t>T177</t>
  </si>
  <si>
    <t>T178</t>
  </si>
  <si>
    <t>T179</t>
  </si>
  <si>
    <t>T180</t>
  </si>
  <si>
    <t>T181</t>
  </si>
  <si>
    <t>T182</t>
  </si>
  <si>
    <t>T183</t>
  </si>
  <si>
    <t>T184</t>
  </si>
  <si>
    <t>T185</t>
  </si>
  <si>
    <t>T186</t>
  </si>
  <si>
    <t>T188</t>
  </si>
  <si>
    <t>T189</t>
  </si>
  <si>
    <t>T190</t>
  </si>
  <si>
    <t>T191</t>
  </si>
  <si>
    <t>T193</t>
  </si>
  <si>
    <t>T194</t>
  </si>
  <si>
    <t>T195</t>
  </si>
  <si>
    <t>T196</t>
  </si>
  <si>
    <t>T197</t>
  </si>
  <si>
    <t>T198</t>
  </si>
  <si>
    <t>T199</t>
  </si>
  <si>
    <t>T200</t>
  </si>
  <si>
    <t>T201</t>
  </si>
  <si>
    <t>T202</t>
  </si>
  <si>
    <t>T203</t>
  </si>
  <si>
    <t>T204</t>
  </si>
  <si>
    <t>T205</t>
  </si>
  <si>
    <t>T206</t>
  </si>
  <si>
    <t>T207</t>
  </si>
  <si>
    <t>T208</t>
  </si>
  <si>
    <t>T209</t>
  </si>
  <si>
    <t>T210</t>
  </si>
  <si>
    <t>T211</t>
  </si>
  <si>
    <t>T212</t>
  </si>
  <si>
    <t>T213</t>
  </si>
  <si>
    <t>T214</t>
  </si>
  <si>
    <t>T215</t>
  </si>
  <si>
    <t>T217</t>
  </si>
  <si>
    <t>T219</t>
  </si>
  <si>
    <t>T220</t>
  </si>
  <si>
    <t>T221</t>
  </si>
  <si>
    <t>T222</t>
  </si>
  <si>
    <t>T224</t>
  </si>
  <si>
    <t>T225</t>
  </si>
  <si>
    <t>T227</t>
  </si>
  <si>
    <t>T228</t>
  </si>
  <si>
    <t>T229</t>
  </si>
  <si>
    <t>T230</t>
  </si>
  <si>
    <t>T231</t>
  </si>
  <si>
    <t>T232</t>
  </si>
  <si>
    <t>T233</t>
  </si>
  <si>
    <t>T234</t>
  </si>
  <si>
    <t>T235</t>
  </si>
  <si>
    <t>T236</t>
  </si>
  <si>
    <t>T237</t>
  </si>
  <si>
    <t>T238</t>
  </si>
  <si>
    <t>T239</t>
  </si>
  <si>
    <t>T240</t>
  </si>
  <si>
    <t>T241</t>
  </si>
  <si>
    <t>T243</t>
  </si>
  <si>
    <t>T244</t>
  </si>
  <si>
    <t>T245</t>
  </si>
  <si>
    <t>T246</t>
  </si>
  <si>
    <t>T247</t>
  </si>
  <si>
    <t>T248</t>
  </si>
  <si>
    <t>T249</t>
  </si>
  <si>
    <t>T251</t>
  </si>
  <si>
    <t>COMPARAÇÃO DOS MÉTODOS — ÁREA NODAL × LINEAR</t>
  </si>
  <si>
    <t>⚠️ Diferenças por nó são ESPERADAS e NORMAIS entre os dois métodos.</t>
  </si>
  <si>
    <t>O que deve concordar é a VAZÃO TOTAL (última linha).</t>
  </si>
  <si>
    <t>Qmh Área Nodal (L/s)</t>
  </si>
  <si>
    <t>Qmh Método Linear (L/s)</t>
  </si>
  <si>
    <t>Diferença (L/s)</t>
  </si>
  <si>
    <t>Diferença (%)</t>
  </si>
  <si>
    <t>Análise</t>
  </si>
  <si>
    <t>← deve ser próximo de 0%</t>
  </si>
  <si>
    <t>POR QUE AS DIFERENÇAS POR NÓ SÃO ALTAS?</t>
  </si>
  <si>
    <t>Os dois métodos distribuem a demanda por critérios DIFERENTES:</t>
  </si>
  <si>
    <t xml:space="preserve">  Área Nodal → proporcional à área de influência de cada nó</t>
  </si>
  <si>
    <t>→ nós em áreas abertas recebem mais demanda</t>
  </si>
  <si>
    <t xml:space="preserve">  Método Linear → proporcional ao comprimento dos trechos adjacentes</t>
  </si>
  <si>
    <t>→ nós em interseções recebem mais demanda</t>
  </si>
  <si>
    <t>Divergências grandes indicam nós onde área e comprimento são desproporcionais.</t>
  </si>
  <si>
    <t>Isso é normal e esperado.</t>
  </si>
  <si>
    <t>O que DEVE concordar é a SOMA TOTAL das vazões.</t>
  </si>
  <si>
    <t>Diferença total &lt; 1% = resultado válido.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</si>
</sst>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name val="Calibri"/>
    </font>
    <font>
      <i/>
      <sz val="11"/>
      <color rgb="FF888888"/>
      <name val="Calibri"/>
    </font>
    <font>
      <b/>
      <sz val="11"/>
      <color rgb="FFFFFFFF"/>
      <name val="Calibri"/>
    </font>
    <font>
      <b/>
      <sz val="11"/>
      <color rgb="FF1F4E79"/>
      <name val="Calibri"/>
    </font>
    <font>
      <i/>
      <sz val="11"/>
      <color rgb="FF444444"/>
      <name val="Calibri"/>
    </font>
    <font>
      <b/>
      <sz val="11"/>
      <color rgb="FFC00000"/>
      <name val="Calibri"/>
    </font>
    <font>
      <i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D6E4F0"/>
      </patternFill>
    </fill>
    <fill>
      <patternFill patternType="solid">
        <fgColor rgb="FFFFF2CC"/>
      </patternFill>
    </fill>
    <fill>
      <patternFill patternType="solid">
        <fgColor rgb="FFC55A1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/>
    <xf numFmtId="0" fontId="0" fillId="3" borderId="1" xfId="0" applyFill="1" applyBorder="1" applyAlignment="1">
      <alignment horizontal="center" vertical="center"/>
    </xf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0" xfId="0" applyFont="1"/>
    <xf numFmtId="0" fontId="2" fillId="5" borderId="1" xfId="0" applyFont="1" applyFill="1" applyBorder="1" applyAlignment="1">
      <alignment horizontal="center" vertical="center"/>
    </xf>
    <xf numFmtId="0" fontId="7" fillId="0" borderId="0" xfId="0" applyFont="1"/>
    <xf numFmtId="0" fontId="5" fillId="5" borderId="1" xfId="0" applyFont="1" applyFill="1" applyBorder="1" applyAlignment="1">
      <alignment horizontal="center" vertical="center"/>
    </xf>
    <xf numFmtId="0" fontId="8" fillId="0" borderId="0" xfId="0" applyFon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1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activeCell="B13" sqref="B13"/>
    </sheetView>
  </sheetViews>
  <sheetFormatPr defaultRowHeight="15" x14ac:dyDescent="0.25"/>
  <cols>
    <col min="1" max="1" width="42" customWidth="1"/>
    <col min="2" max="2" width="20" customWidth="1"/>
    <col min="3" max="3" width="28" customWidth="1"/>
  </cols>
  <sheetData>
    <row r="1" spans="1:3" ht="15.75" x14ac:dyDescent="0.25">
      <c r="A1" s="13" t="s">
        <v>0</v>
      </c>
      <c r="B1" s="14"/>
      <c r="C1" s="14"/>
    </row>
    <row r="3" spans="1:3" x14ac:dyDescent="0.25">
      <c r="A3" s="1" t="s">
        <v>1</v>
      </c>
      <c r="B3" s="2">
        <v>18851.240000000002</v>
      </c>
      <c r="C3" s="3" t="s">
        <v>2</v>
      </c>
    </row>
    <row r="4" spans="1:3" x14ac:dyDescent="0.25">
      <c r="A4" s="1" t="s">
        <v>3</v>
      </c>
      <c r="B4" s="2">
        <v>150</v>
      </c>
      <c r="C4" s="3" t="s">
        <v>2</v>
      </c>
    </row>
    <row r="5" spans="1:3" x14ac:dyDescent="0.25">
      <c r="A5" s="1" t="s">
        <v>4</v>
      </c>
      <c r="B5" s="2">
        <v>1.2</v>
      </c>
      <c r="C5" s="3" t="s">
        <v>2</v>
      </c>
    </row>
    <row r="6" spans="1:3" x14ac:dyDescent="0.25">
      <c r="A6" s="1" t="s">
        <v>5</v>
      </c>
      <c r="B6" s="2">
        <v>1.5</v>
      </c>
      <c r="C6" s="3" t="s">
        <v>2</v>
      </c>
    </row>
    <row r="7" spans="1:3" x14ac:dyDescent="0.25">
      <c r="A7" s="1" t="s">
        <v>6</v>
      </c>
      <c r="B7" s="2">
        <v>1035079.21</v>
      </c>
      <c r="C7" s="3" t="s">
        <v>2</v>
      </c>
    </row>
    <row r="8" spans="1:3" x14ac:dyDescent="0.25">
      <c r="A8" s="1" t="s">
        <v>7</v>
      </c>
      <c r="B8" s="2">
        <v>20397.79</v>
      </c>
      <c r="C8" s="3" t="s">
        <v>2</v>
      </c>
    </row>
    <row r="9" spans="1:3" x14ac:dyDescent="0.25">
      <c r="A9" s="1" t="s">
        <v>8</v>
      </c>
      <c r="B9" s="2">
        <f>(B4*B3)/86400</f>
        <v>32.727847222222231</v>
      </c>
      <c r="C9" s="3" t="s">
        <v>2</v>
      </c>
    </row>
    <row r="10" spans="1:3" x14ac:dyDescent="0.25">
      <c r="A10" s="1" t="s">
        <v>9</v>
      </c>
      <c r="B10" s="2">
        <f>B9*B5</f>
        <v>39.273416666666677</v>
      </c>
      <c r="C10" s="3" t="s">
        <v>2</v>
      </c>
    </row>
    <row r="11" spans="1:3" x14ac:dyDescent="0.25">
      <c r="A11" s="1" t="s">
        <v>10</v>
      </c>
      <c r="B11" s="2">
        <f>B10*B6</f>
        <v>58.910125000000015</v>
      </c>
      <c r="C11" s="3" t="s">
        <v>2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8"/>
  <sheetViews>
    <sheetView workbookViewId="0">
      <selection activeCell="C13" sqref="C13"/>
    </sheetView>
  </sheetViews>
  <sheetFormatPr defaultRowHeight="15" x14ac:dyDescent="0.25"/>
  <cols>
    <col min="1" max="1" width="10" customWidth="1"/>
    <col min="2" max="2" width="20" customWidth="1"/>
    <col min="3" max="3" width="16" customWidth="1"/>
    <col min="4" max="4" width="22" customWidth="1"/>
    <col min="5" max="5" width="26" customWidth="1"/>
  </cols>
  <sheetData>
    <row r="1" spans="1:5" ht="15.75" x14ac:dyDescent="0.25">
      <c r="A1" s="13" t="s">
        <v>11</v>
      </c>
      <c r="B1" s="14"/>
      <c r="C1" s="14"/>
      <c r="D1" s="14"/>
      <c r="E1" s="14"/>
    </row>
    <row r="3" spans="1:5" x14ac:dyDescent="0.25">
      <c r="A3" s="4" t="s">
        <v>12</v>
      </c>
      <c r="B3" s="4" t="s">
        <v>13</v>
      </c>
      <c r="C3" s="4" t="s">
        <v>14</v>
      </c>
      <c r="D3" s="4" t="s">
        <v>15</v>
      </c>
      <c r="E3" s="4" t="s">
        <v>16</v>
      </c>
    </row>
    <row r="4" spans="1:5" x14ac:dyDescent="0.25">
      <c r="A4" s="5">
        <v>2022</v>
      </c>
      <c r="B4" s="5">
        <v>18265</v>
      </c>
      <c r="C4" s="5">
        <v>36.427</v>
      </c>
      <c r="D4" s="5">
        <v>43.712499999999999</v>
      </c>
      <c r="E4" s="5">
        <v>65.568700000000007</v>
      </c>
    </row>
    <row r="5" spans="1:5" x14ac:dyDescent="0.25">
      <c r="A5" s="6">
        <v>2023</v>
      </c>
      <c r="B5" s="6">
        <v>18303</v>
      </c>
      <c r="C5" s="6">
        <v>36.314700000000002</v>
      </c>
      <c r="D5" s="6">
        <v>43.577599999999997</v>
      </c>
      <c r="E5" s="6">
        <v>65.366399999999999</v>
      </c>
    </row>
    <row r="6" spans="1:5" x14ac:dyDescent="0.25">
      <c r="A6" s="5">
        <v>2024</v>
      </c>
      <c r="B6" s="5">
        <v>18339</v>
      </c>
      <c r="C6" s="5">
        <v>36.386600000000001</v>
      </c>
      <c r="D6" s="5">
        <v>43.663899999999998</v>
      </c>
      <c r="E6" s="5">
        <v>65.495900000000006</v>
      </c>
    </row>
    <row r="7" spans="1:5" x14ac:dyDescent="0.25">
      <c r="A7" s="6">
        <v>2025</v>
      </c>
      <c r="B7" s="6">
        <v>18374</v>
      </c>
      <c r="C7" s="6">
        <v>36.455599999999997</v>
      </c>
      <c r="D7" s="6">
        <v>43.746699999999997</v>
      </c>
      <c r="E7" s="6">
        <v>65.620099999999994</v>
      </c>
    </row>
    <row r="8" spans="1:5" x14ac:dyDescent="0.25">
      <c r="A8" s="5">
        <v>2026</v>
      </c>
      <c r="B8" s="5">
        <v>18407</v>
      </c>
      <c r="C8" s="5">
        <v>36.521799999999999</v>
      </c>
      <c r="D8" s="5">
        <v>43.8262</v>
      </c>
      <c r="E8" s="5">
        <v>65.7393</v>
      </c>
    </row>
    <row r="9" spans="1:5" x14ac:dyDescent="0.25">
      <c r="A9" s="6">
        <v>2027</v>
      </c>
      <c r="B9" s="6">
        <v>18439</v>
      </c>
      <c r="C9" s="6">
        <v>36.585299999999997</v>
      </c>
      <c r="D9" s="6">
        <v>43.9024</v>
      </c>
      <c r="E9" s="6">
        <v>65.8536</v>
      </c>
    </row>
    <row r="10" spans="1:5" x14ac:dyDescent="0.25">
      <c r="A10" s="5">
        <v>2028</v>
      </c>
      <c r="B10" s="5">
        <v>18470</v>
      </c>
      <c r="C10" s="5">
        <v>36.646299999999997</v>
      </c>
      <c r="D10" s="5">
        <v>43.975499999999997</v>
      </c>
      <c r="E10" s="5">
        <v>65.963300000000004</v>
      </c>
    </row>
    <row r="11" spans="1:5" x14ac:dyDescent="0.25">
      <c r="A11" s="6">
        <v>2029</v>
      </c>
      <c r="B11" s="6">
        <v>18499</v>
      </c>
      <c r="C11" s="6">
        <v>40.711199999999998</v>
      </c>
      <c r="D11" s="6">
        <v>48.853499999999997</v>
      </c>
      <c r="E11" s="6">
        <v>73.280199999999994</v>
      </c>
    </row>
    <row r="12" spans="1:5" x14ac:dyDescent="0.25">
      <c r="A12" s="5">
        <v>2030</v>
      </c>
      <c r="B12" s="5">
        <v>18527</v>
      </c>
      <c r="C12" s="5">
        <v>41.679499999999997</v>
      </c>
      <c r="D12" s="5">
        <v>50.0154</v>
      </c>
      <c r="E12" s="5">
        <v>75.023200000000003</v>
      </c>
    </row>
    <row r="13" spans="1:5" x14ac:dyDescent="0.25">
      <c r="A13" s="6">
        <v>2031</v>
      </c>
      <c r="B13" s="6">
        <v>18555</v>
      </c>
      <c r="C13" s="6">
        <v>42.6479</v>
      </c>
      <c r="D13" s="6">
        <v>51.177500000000002</v>
      </c>
      <c r="E13" s="6">
        <v>76.766300000000001</v>
      </c>
    </row>
    <row r="14" spans="1:5" x14ac:dyDescent="0.25">
      <c r="A14" s="5">
        <v>2032</v>
      </c>
      <c r="B14" s="5">
        <v>18581</v>
      </c>
      <c r="C14" s="5">
        <v>43.010599999999997</v>
      </c>
      <c r="D14" s="5">
        <v>51.6128</v>
      </c>
      <c r="E14" s="5">
        <v>77.4191</v>
      </c>
    </row>
    <row r="15" spans="1:5" x14ac:dyDescent="0.25">
      <c r="A15" s="6">
        <v>2033</v>
      </c>
      <c r="B15" s="6">
        <v>18606</v>
      </c>
      <c r="C15" s="6">
        <v>43.965699999999998</v>
      </c>
      <c r="D15" s="6">
        <v>52.758800000000001</v>
      </c>
      <c r="E15" s="6">
        <v>79.138199999999998</v>
      </c>
    </row>
    <row r="16" spans="1:5" x14ac:dyDescent="0.25">
      <c r="A16" s="5">
        <v>2034</v>
      </c>
      <c r="B16" s="5">
        <v>18630</v>
      </c>
      <c r="C16" s="5">
        <v>44.920699999999997</v>
      </c>
      <c r="D16" s="5">
        <v>53.904800000000002</v>
      </c>
      <c r="E16" s="5">
        <v>80.857200000000006</v>
      </c>
    </row>
    <row r="17" spans="1:5" x14ac:dyDescent="0.25">
      <c r="A17" s="6">
        <v>2035</v>
      </c>
      <c r="B17" s="6">
        <v>18652</v>
      </c>
      <c r="C17" s="6">
        <v>44.36</v>
      </c>
      <c r="D17" s="6">
        <v>53.231999999999999</v>
      </c>
      <c r="E17" s="6">
        <v>79.847899999999996</v>
      </c>
    </row>
    <row r="18" spans="1:5" x14ac:dyDescent="0.25">
      <c r="A18" s="5">
        <v>2036</v>
      </c>
      <c r="B18" s="5">
        <v>18675</v>
      </c>
      <c r="C18" s="5">
        <v>44.412399999999998</v>
      </c>
      <c r="D18" s="5">
        <v>53.294899999999998</v>
      </c>
      <c r="E18" s="5">
        <v>79.942300000000003</v>
      </c>
    </row>
    <row r="19" spans="1:5" x14ac:dyDescent="0.25">
      <c r="A19" s="6">
        <v>2037</v>
      </c>
      <c r="B19" s="6">
        <v>18696</v>
      </c>
      <c r="C19" s="6">
        <v>44.462699999999998</v>
      </c>
      <c r="D19" s="6">
        <v>53.355200000000004</v>
      </c>
      <c r="E19" s="6">
        <v>80.032799999999995</v>
      </c>
    </row>
    <row r="20" spans="1:5" x14ac:dyDescent="0.25">
      <c r="A20" s="5">
        <v>2038</v>
      </c>
      <c r="B20" s="5">
        <v>18716</v>
      </c>
      <c r="C20" s="5">
        <v>44.510899999999999</v>
      </c>
      <c r="D20" s="5">
        <v>53.4131</v>
      </c>
      <c r="E20" s="5">
        <v>80.119699999999995</v>
      </c>
    </row>
    <row r="21" spans="1:5" x14ac:dyDescent="0.25">
      <c r="A21" s="6">
        <v>2039</v>
      </c>
      <c r="B21" s="6">
        <v>18735</v>
      </c>
      <c r="C21" s="6">
        <v>43.955100000000002</v>
      </c>
      <c r="D21" s="6">
        <v>52.746099999999998</v>
      </c>
      <c r="E21" s="6">
        <v>79.119200000000006</v>
      </c>
    </row>
    <row r="22" spans="1:5" x14ac:dyDescent="0.25">
      <c r="A22" s="5">
        <v>2040</v>
      </c>
      <c r="B22" s="5">
        <v>18754</v>
      </c>
      <c r="C22" s="5">
        <v>43.998899999999999</v>
      </c>
      <c r="D22" s="5">
        <v>52.798699999999997</v>
      </c>
      <c r="E22" s="5">
        <v>79.197999999999993</v>
      </c>
    </row>
    <row r="23" spans="1:5" x14ac:dyDescent="0.25">
      <c r="A23" s="6">
        <v>2041</v>
      </c>
      <c r="B23" s="6">
        <v>18772</v>
      </c>
      <c r="C23" s="6">
        <v>44.040900000000001</v>
      </c>
      <c r="D23" s="6">
        <v>52.8491</v>
      </c>
      <c r="E23" s="6">
        <v>79.273700000000005</v>
      </c>
    </row>
    <row r="24" spans="1:5" x14ac:dyDescent="0.25">
      <c r="A24" s="5">
        <v>2042</v>
      </c>
      <c r="B24" s="5">
        <v>18789</v>
      </c>
      <c r="C24" s="5">
        <v>44.081299999999999</v>
      </c>
      <c r="D24" s="5">
        <v>52.897500000000001</v>
      </c>
      <c r="E24" s="5">
        <v>79.346299999999999</v>
      </c>
    </row>
    <row r="25" spans="1:5" x14ac:dyDescent="0.25">
      <c r="A25" s="6">
        <v>2043</v>
      </c>
      <c r="B25" s="6">
        <v>18806</v>
      </c>
      <c r="C25" s="6">
        <v>44.119900000000001</v>
      </c>
      <c r="D25" s="6">
        <v>52.943899999999999</v>
      </c>
      <c r="E25" s="6">
        <v>79.415899999999993</v>
      </c>
    </row>
    <row r="26" spans="1:5" x14ac:dyDescent="0.25">
      <c r="A26" s="5">
        <v>2044</v>
      </c>
      <c r="B26" s="5">
        <v>18822</v>
      </c>
      <c r="C26" s="5">
        <v>43.568300000000001</v>
      </c>
      <c r="D26" s="5">
        <v>52.281999999999996</v>
      </c>
      <c r="E26" s="5">
        <v>78.422899999999998</v>
      </c>
    </row>
    <row r="27" spans="1:5" x14ac:dyDescent="0.25">
      <c r="A27" s="6">
        <v>2045</v>
      </c>
      <c r="B27" s="6">
        <v>18837</v>
      </c>
      <c r="C27" s="6">
        <v>43.603400000000001</v>
      </c>
      <c r="D27" s="6">
        <v>52.324100000000001</v>
      </c>
      <c r="E27" s="6">
        <v>78.486199999999997</v>
      </c>
    </row>
    <row r="28" spans="1:5" x14ac:dyDescent="0.25">
      <c r="A28" s="7">
        <v>2046</v>
      </c>
      <c r="B28" s="7">
        <v>18851</v>
      </c>
      <c r="C28" s="7">
        <v>43.637099999999997</v>
      </c>
      <c r="D28" s="7">
        <v>52.364600000000003</v>
      </c>
      <c r="E28" s="7">
        <v>78.546899999999994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6"/>
  <sheetViews>
    <sheetView workbookViewId="0">
      <selection activeCell="E14" sqref="E14"/>
    </sheetView>
  </sheetViews>
  <sheetFormatPr defaultRowHeight="15" x14ac:dyDescent="0.25"/>
  <cols>
    <col min="1" max="1" width="8" customWidth="1"/>
    <col min="2" max="2" width="18" customWidth="1"/>
    <col min="3" max="3" width="16" customWidth="1"/>
    <col min="4" max="4" width="14" customWidth="1"/>
    <col min="5" max="5" width="20" customWidth="1"/>
    <col min="6" max="6" width="24" customWidth="1"/>
    <col min="7" max="7" width="20" customWidth="1"/>
  </cols>
  <sheetData>
    <row r="1" spans="1:7" ht="15.75" x14ac:dyDescent="0.25">
      <c r="A1" s="13" t="s">
        <v>17</v>
      </c>
      <c r="B1" s="14"/>
      <c r="C1" s="14"/>
      <c r="D1" s="14"/>
      <c r="E1" s="14"/>
      <c r="F1" s="14"/>
      <c r="G1" s="14"/>
    </row>
    <row r="3" spans="1:7" x14ac:dyDescent="0.25">
      <c r="A3" s="8" t="s">
        <v>18</v>
      </c>
    </row>
    <row r="5" spans="1:7" x14ac:dyDescent="0.25">
      <c r="A5" s="4" t="s">
        <v>19</v>
      </c>
      <c r="B5" s="4" t="s">
        <v>20</v>
      </c>
      <c r="C5" s="4" t="s">
        <v>21</v>
      </c>
      <c r="D5" s="4" t="s">
        <v>22</v>
      </c>
      <c r="E5" s="4" t="s">
        <v>23</v>
      </c>
      <c r="F5" s="4" t="s">
        <v>24</v>
      </c>
      <c r="G5" s="4" t="s">
        <v>25</v>
      </c>
    </row>
    <row r="6" spans="1:7" x14ac:dyDescent="0.25">
      <c r="A6" s="5" t="s">
        <v>26</v>
      </c>
      <c r="B6" s="5">
        <v>9716.98</v>
      </c>
      <c r="C6" s="5">
        <f t="shared" ref="C6:C35" si="0">B6/10000</f>
        <v>0.97169799999999995</v>
      </c>
      <c r="D6" s="5">
        <f>B6/Dados!$B$7*100</f>
        <v>0.93876680220444186</v>
      </c>
      <c r="E6" s="5">
        <f>Dados!$B$3*(B6/Dados!$B$7)</f>
        <v>176.96918292388463</v>
      </c>
      <c r="F6" s="5">
        <f>E6*Dados!$B$4*Dados!$B$5*Dados!$B$6/86400</f>
        <v>0.55302869663713949</v>
      </c>
      <c r="G6" s="5"/>
    </row>
    <row r="7" spans="1:7" x14ac:dyDescent="0.25">
      <c r="A7" s="6" t="s">
        <v>27</v>
      </c>
      <c r="B7" s="6">
        <v>5781.42</v>
      </c>
      <c r="C7" s="6">
        <f t="shared" si="0"/>
        <v>0.57814200000000004</v>
      </c>
      <c r="D7" s="6">
        <f>B7/Dados!$B$7*100</f>
        <v>0.55854855784418667</v>
      </c>
      <c r="E7" s="6">
        <f>Dados!$B$3*(B7/Dados!$B$7)</f>
        <v>105.29332915574646</v>
      </c>
      <c r="F7" s="6">
        <f>E7*Dados!$B$4*Dados!$B$5*Dados!$B$6/86400</f>
        <v>0.32904165361170762</v>
      </c>
      <c r="G7" s="6"/>
    </row>
    <row r="8" spans="1:7" x14ac:dyDescent="0.25">
      <c r="A8" s="5" t="s">
        <v>28</v>
      </c>
      <c r="B8" s="5">
        <v>4732.1099999999997</v>
      </c>
      <c r="C8" s="5">
        <f t="shared" si="0"/>
        <v>0.47321099999999999</v>
      </c>
      <c r="D8" s="5">
        <f>B8/Dados!$B$7*100</f>
        <v>0.45717370750785341</v>
      </c>
      <c r="E8" s="5">
        <f>Dados!$B$3*(B8/Dados!$B$7)</f>
        <v>86.182912819203466</v>
      </c>
      <c r="F8" s="5">
        <f>E8*Dados!$B$4*Dados!$B$5*Dados!$B$6/86400</f>
        <v>0.26932160256001081</v>
      </c>
      <c r="G8" s="5"/>
    </row>
    <row r="9" spans="1:7" x14ac:dyDescent="0.25">
      <c r="A9" s="6" t="s">
        <v>29</v>
      </c>
      <c r="B9" s="6">
        <v>6907.88</v>
      </c>
      <c r="C9" s="6">
        <f t="shared" si="0"/>
        <v>0.69078799999999996</v>
      </c>
      <c r="D9" s="6">
        <f>B9/Dados!$B$7*100</f>
        <v>0.66737694403117231</v>
      </c>
      <c r="E9" s="6">
        <f>Dados!$B$3*(B9/Dados!$B$7)</f>
        <v>125.80882942398198</v>
      </c>
      <c r="F9" s="6">
        <f>E9*Dados!$B$4*Dados!$B$5*Dados!$B$6/86400</f>
        <v>0.39315259194994362</v>
      </c>
      <c r="G9" s="6"/>
    </row>
    <row r="10" spans="1:7" x14ac:dyDescent="0.25">
      <c r="A10" s="5" t="s">
        <v>30</v>
      </c>
      <c r="B10" s="5">
        <v>8584.93</v>
      </c>
      <c r="C10" s="5">
        <f t="shared" si="0"/>
        <v>0.85849300000000006</v>
      </c>
      <c r="D10" s="5">
        <f>B10/Dados!$B$7*100</f>
        <v>0.82939836073028661</v>
      </c>
      <c r="E10" s="5">
        <f>Dados!$B$3*(B10/Dados!$B$7)</f>
        <v>156.35187553733209</v>
      </c>
      <c r="F10" s="5">
        <f>E10*Dados!$B$4*Dados!$B$5*Dados!$B$6/86400</f>
        <v>0.48859961105416272</v>
      </c>
      <c r="G10" s="5"/>
    </row>
    <row r="11" spans="1:7" x14ac:dyDescent="0.25">
      <c r="A11" s="6" t="s">
        <v>31</v>
      </c>
      <c r="B11" s="6">
        <v>2742.1</v>
      </c>
      <c r="C11" s="6">
        <f t="shared" si="0"/>
        <v>0.27421000000000001</v>
      </c>
      <c r="D11" s="6">
        <f>B11/Dados!$B$7*100</f>
        <v>0.26491692360432978</v>
      </c>
      <c r="E11" s="6">
        <f>Dados!$B$3*(B11/Dados!$B$7)</f>
        <v>49.940125069268859</v>
      </c>
      <c r="F11" s="6">
        <f>E11*Dados!$B$4*Dados!$B$5*Dados!$B$6/86400</f>
        <v>0.15606289084146516</v>
      </c>
      <c r="G11" s="6"/>
    </row>
    <row r="12" spans="1:7" x14ac:dyDescent="0.25">
      <c r="A12" s="5" t="s">
        <v>32</v>
      </c>
      <c r="B12" s="5">
        <v>3132.1</v>
      </c>
      <c r="C12" s="5">
        <f t="shared" si="0"/>
        <v>0.31320999999999999</v>
      </c>
      <c r="D12" s="5">
        <f>B12/Dados!$B$7*100</f>
        <v>0.30259519945338287</v>
      </c>
      <c r="E12" s="5">
        <f>Dados!$B$3*(B12/Dados!$B$7)</f>
        <v>57.0429472774359</v>
      </c>
      <c r="F12" s="5">
        <f>E12*Dados!$B$4*Dados!$B$5*Dados!$B$6/86400</f>
        <v>0.17825921024198718</v>
      </c>
      <c r="G12" s="5"/>
    </row>
    <row r="13" spans="1:7" x14ac:dyDescent="0.25">
      <c r="A13" s="6" t="s">
        <v>33</v>
      </c>
      <c r="B13" s="6">
        <v>6896.41</v>
      </c>
      <c r="C13" s="6">
        <f t="shared" si="0"/>
        <v>0.68964099999999995</v>
      </c>
      <c r="D13" s="6">
        <f>B13/Dados!$B$7*100</f>
        <v>0.66626881627735524</v>
      </c>
      <c r="E13" s="6">
        <f>Dados!$B$3*(B13/Dados!$B$7)</f>
        <v>125.59993360160331</v>
      </c>
      <c r="F13" s="6">
        <f>E13*Dados!$B$4*Dados!$B$5*Dados!$B$6/86400</f>
        <v>0.39249979250501038</v>
      </c>
      <c r="G13" s="6"/>
    </row>
    <row r="14" spans="1:7" x14ac:dyDescent="0.25">
      <c r="A14" s="5" t="s">
        <v>34</v>
      </c>
      <c r="B14" s="5">
        <v>7926.07</v>
      </c>
      <c r="C14" s="5">
        <f t="shared" si="0"/>
        <v>0.79260699999999995</v>
      </c>
      <c r="D14" s="5">
        <f>B14/Dados!$B$7*100</f>
        <v>0.7657452611766784</v>
      </c>
      <c r="E14" s="5">
        <f>Dados!$B$3*(B14/Dados!$B$7)</f>
        <v>144.35247697304249</v>
      </c>
      <c r="F14" s="5">
        <f>E14*Dados!$B$4*Dados!$B$5*Dados!$B$6/86400</f>
        <v>0.45110149054075777</v>
      </c>
      <c r="G14" s="5"/>
    </row>
    <row r="15" spans="1:7" x14ac:dyDescent="0.25">
      <c r="A15" s="6" t="s">
        <v>35</v>
      </c>
      <c r="B15" s="6">
        <v>10871.71</v>
      </c>
      <c r="C15" s="6">
        <f t="shared" si="0"/>
        <v>1.0871709999999999</v>
      </c>
      <c r="D15" s="6">
        <f>B15/Dados!$B$7*100</f>
        <v>1.0503263803356653</v>
      </c>
      <c r="E15" s="6">
        <f>Dados!$B$3*(B15/Dados!$B$7)</f>
        <v>197.99954674038909</v>
      </c>
      <c r="F15" s="6">
        <f>E15*Dados!$B$4*Dados!$B$5*Dados!$B$6/86400</f>
        <v>0.61874858356371598</v>
      </c>
      <c r="G15" s="6"/>
    </row>
    <row r="16" spans="1:7" x14ac:dyDescent="0.25">
      <c r="A16" s="5" t="s">
        <v>36</v>
      </c>
      <c r="B16" s="5">
        <v>12057.04</v>
      </c>
      <c r="C16" s="5">
        <f t="shared" si="0"/>
        <v>1.2057040000000001</v>
      </c>
      <c r="D16" s="5">
        <f>B16/Dados!$B$7*100</f>
        <v>1.1648422539565839</v>
      </c>
      <c r="E16" s="5">
        <f>Dados!$B$3*(B16/Dados!$B$7)</f>
        <v>219.58720891476514</v>
      </c>
      <c r="F16" s="5">
        <f>E16*Dados!$B$4*Dados!$B$5*Dados!$B$6/86400</f>
        <v>0.68621002785864094</v>
      </c>
      <c r="G16" s="5"/>
    </row>
    <row r="17" spans="1:7" x14ac:dyDescent="0.25">
      <c r="A17" s="6" t="s">
        <v>37</v>
      </c>
      <c r="B17" s="6">
        <v>9832.89</v>
      </c>
      <c r="C17" s="6">
        <f t="shared" si="0"/>
        <v>0.98328899999999997</v>
      </c>
      <c r="D17" s="6">
        <f>B17/Dados!$B$7*100</f>
        <v>0.94996497900870802</v>
      </c>
      <c r="E17" s="6">
        <f>Dados!$B$3*(B17/Dados!$B$7)</f>
        <v>179.08017810888117</v>
      </c>
      <c r="F17" s="6">
        <f>E17*Dados!$B$4*Dados!$B$5*Dados!$B$6/86400</f>
        <v>0.5596255565902537</v>
      </c>
      <c r="G17" s="6"/>
    </row>
    <row r="18" spans="1:7" x14ac:dyDescent="0.25">
      <c r="A18" s="5" t="s">
        <v>38</v>
      </c>
      <c r="B18" s="5">
        <v>9916.1</v>
      </c>
      <c r="C18" s="5">
        <f t="shared" si="0"/>
        <v>0.99160999999999999</v>
      </c>
      <c r="D18" s="5">
        <f>B18/Dados!$B$7*100</f>
        <v>0.95800397729947662</v>
      </c>
      <c r="E18" s="5">
        <f>Dados!$B$3*(B18/Dados!$B$7)</f>
        <v>180.59562897026987</v>
      </c>
      <c r="F18" s="5">
        <f>E18*Dados!$B$4*Dados!$B$5*Dados!$B$6/86400</f>
        <v>0.5643613405320933</v>
      </c>
      <c r="G18" s="5"/>
    </row>
    <row r="19" spans="1:7" x14ac:dyDescent="0.25">
      <c r="A19" s="6" t="s">
        <v>39</v>
      </c>
      <c r="B19" s="6">
        <v>8925.94</v>
      </c>
      <c r="C19" s="6">
        <f t="shared" si="0"/>
        <v>0.892594</v>
      </c>
      <c r="D19" s="6">
        <f>B19/Dados!$B$7*100</f>
        <v>0.86234366546691643</v>
      </c>
      <c r="E19" s="6">
        <f>Dados!$B$3*(B19/Dados!$B$7)</f>
        <v>162.56247400196554</v>
      </c>
      <c r="F19" s="6">
        <f>E19*Dados!$B$4*Dados!$B$5*Dados!$B$6/86400</f>
        <v>0.50800773125614229</v>
      </c>
      <c r="G19" s="6"/>
    </row>
    <row r="20" spans="1:7" x14ac:dyDescent="0.25">
      <c r="A20" s="5" t="s">
        <v>40</v>
      </c>
      <c r="B20" s="5">
        <v>7878.3</v>
      </c>
      <c r="C20" s="5">
        <f t="shared" si="0"/>
        <v>0.78783000000000003</v>
      </c>
      <c r="D20" s="5">
        <f>B20/Dados!$B$7*100</f>
        <v>0.76113015543998808</v>
      </c>
      <c r="E20" s="5">
        <f>Dados!$B$3*(B20/Dados!$B$7)</f>
        <v>143.48247231436522</v>
      </c>
      <c r="F20" s="5">
        <f>E20*Dados!$B$4*Dados!$B$5*Dados!$B$6/86400</f>
        <v>0.44838272598239132</v>
      </c>
      <c r="G20" s="5"/>
    </row>
    <row r="21" spans="1:7" x14ac:dyDescent="0.25">
      <c r="A21" s="6" t="s">
        <v>41</v>
      </c>
      <c r="B21" s="6">
        <v>7928.1</v>
      </c>
      <c r="C21" s="6">
        <f t="shared" si="0"/>
        <v>0.79281000000000001</v>
      </c>
      <c r="D21" s="6">
        <f>B21/Dados!$B$7*100</f>
        <v>0.76594138143302104</v>
      </c>
      <c r="E21" s="6">
        <f>Dados!$B$3*(B21/Dados!$B$7)</f>
        <v>144.38944807325424</v>
      </c>
      <c r="F21" s="6">
        <f>E21*Dados!$B$4*Dados!$B$5*Dados!$B$6/86400</f>
        <v>0.45121702522891949</v>
      </c>
      <c r="G21" s="6"/>
    </row>
    <row r="22" spans="1:7" x14ac:dyDescent="0.25">
      <c r="A22" s="6" t="s">
        <v>43</v>
      </c>
      <c r="B22" s="6">
        <v>11152.8</v>
      </c>
      <c r="C22" s="6">
        <f t="shared" si="0"/>
        <v>1.1152799999999998</v>
      </c>
      <c r="D22" s="6">
        <f>B22/Dados!$B$7*100</f>
        <v>1.077482756126461</v>
      </c>
      <c r="E22" s="6">
        <f>Dados!$B$3*(B22/Dados!$B$7)</f>
        <v>203.11886031601389</v>
      </c>
      <c r="F22" s="6">
        <f>E22*Dados!$B$4*Dados!$B$5*Dados!$B$6/86400</f>
        <v>0.63474643848754342</v>
      </c>
      <c r="G22" s="6"/>
    </row>
    <row r="23" spans="1:7" x14ac:dyDescent="0.25">
      <c r="A23" s="5" t="s">
        <v>44</v>
      </c>
      <c r="B23" s="5">
        <v>7346.86</v>
      </c>
      <c r="C23" s="5">
        <f t="shared" si="0"/>
        <v>0.73468599999999995</v>
      </c>
      <c r="D23" s="5">
        <f>B23/Dados!$B$7*100</f>
        <v>0.7097872248830116</v>
      </c>
      <c r="E23" s="5">
        <f>Dados!$B$3*(B23/Dados!$B$7)</f>
        <v>133.80369325203625</v>
      </c>
      <c r="F23" s="5">
        <f>E23*Dados!$B$4*Dados!$B$5*Dados!$B$6/86400</f>
        <v>0.41813654141261331</v>
      </c>
      <c r="G23" s="5"/>
    </row>
    <row r="24" spans="1:7" x14ac:dyDescent="0.25">
      <c r="A24" s="6" t="s">
        <v>45</v>
      </c>
      <c r="B24" s="6">
        <v>8265.0400000000009</v>
      </c>
      <c r="C24" s="6">
        <f t="shared" si="0"/>
        <v>0.82650400000000013</v>
      </c>
      <c r="D24" s="6">
        <f>B24/Dados!$B$7*100</f>
        <v>0.79849347954732874</v>
      </c>
      <c r="E24" s="6">
        <f>Dados!$B$3*(B24/Dados!$B$7)</f>
        <v>150.52592221381786</v>
      </c>
      <c r="F24" s="6">
        <f>E24*Dados!$B$4*Dados!$B$5*Dados!$B$6/86400</f>
        <v>0.47039350691818083</v>
      </c>
      <c r="G24" s="6"/>
    </row>
    <row r="25" spans="1:7" x14ac:dyDescent="0.25">
      <c r="A25" s="6" t="s">
        <v>47</v>
      </c>
      <c r="B25" s="6">
        <v>14889.1</v>
      </c>
      <c r="C25" s="6">
        <f t="shared" si="0"/>
        <v>1.48891</v>
      </c>
      <c r="D25" s="6">
        <f>B25/Dados!$B$7*100</f>
        <v>1.4384502998567619</v>
      </c>
      <c r="E25" s="6">
        <f>Dados!$B$3*(B25/Dados!$B$7)</f>
        <v>271.16571830671785</v>
      </c>
      <c r="F25" s="6">
        <f>E25*Dados!$B$4*Dados!$B$5*Dados!$B$6/86400</f>
        <v>0.84739286970849326</v>
      </c>
      <c r="G25" s="6"/>
    </row>
    <row r="26" spans="1:7" x14ac:dyDescent="0.25">
      <c r="A26" s="5" t="s">
        <v>48</v>
      </c>
      <c r="B26" s="5">
        <v>8759.18</v>
      </c>
      <c r="C26" s="5">
        <f t="shared" si="0"/>
        <v>0.87591799999999997</v>
      </c>
      <c r="D26" s="5">
        <f>B26/Dados!$B$7*100</f>
        <v>0.84623282115771603</v>
      </c>
      <c r="E26" s="5">
        <f>Dados!$B$3*(B26/Dados!$B$7)</f>
        <v>159.52538007521184</v>
      </c>
      <c r="F26" s="5">
        <f>E26*Dados!$B$4*Dados!$B$5*Dados!$B$6/86400</f>
        <v>0.49851681273503701</v>
      </c>
      <c r="G26" s="5"/>
    </row>
    <row r="27" spans="1:7" x14ac:dyDescent="0.25">
      <c r="A27" s="6" t="s">
        <v>49</v>
      </c>
      <c r="B27" s="6">
        <v>4728.83</v>
      </c>
      <c r="C27" s="6">
        <f t="shared" si="0"/>
        <v>0.472883</v>
      </c>
      <c r="D27" s="6">
        <f>B27/Dados!$B$7*100</f>
        <v>0.45685682354686658</v>
      </c>
      <c r="E27" s="6">
        <f>Dados!$B$3*(B27/Dados!$B$7)</f>
        <v>86.123176263196342</v>
      </c>
      <c r="F27" s="6">
        <f>E27*Dados!$B$4*Dados!$B$5*Dados!$B$6/86400</f>
        <v>0.26913492582248855</v>
      </c>
      <c r="G27" s="6"/>
    </row>
    <row r="28" spans="1:7" x14ac:dyDescent="0.25">
      <c r="A28" s="5" t="s">
        <v>50</v>
      </c>
      <c r="B28" s="5">
        <v>7825.91</v>
      </c>
      <c r="C28" s="5">
        <f t="shared" si="0"/>
        <v>0.78259100000000004</v>
      </c>
      <c r="D28" s="5">
        <f>B28/Dados!$B$7*100</f>
        <v>0.75606870705093188</v>
      </c>
      <c r="E28" s="5">
        <f>Dados!$B$3*(B28/Dados!$B$7)</f>
        <v>142.5283265310681</v>
      </c>
      <c r="F28" s="5">
        <f>E28*Dados!$B$4*Dados!$B$5*Dados!$B$6/86400</f>
        <v>0.44540102040958784</v>
      </c>
      <c r="G28" s="5"/>
    </row>
    <row r="29" spans="1:7" x14ac:dyDescent="0.25">
      <c r="A29" s="6" t="s">
        <v>51</v>
      </c>
      <c r="B29" s="6">
        <v>2816.81</v>
      </c>
      <c r="C29" s="6">
        <f t="shared" si="0"/>
        <v>0.28168100000000001</v>
      </c>
      <c r="D29" s="6">
        <f>B29/Dados!$B$7*100</f>
        <v>0.27213472870351635</v>
      </c>
      <c r="E29" s="6">
        <f>Dados!$B$3*(B29/Dados!$B$7)</f>
        <v>51.300770831248755</v>
      </c>
      <c r="F29" s="6">
        <f>E29*Dados!$B$4*Dados!$B$5*Dados!$B$6/86400</f>
        <v>0.16031490884765234</v>
      </c>
      <c r="G29" s="6"/>
    </row>
    <row r="30" spans="1:7" x14ac:dyDescent="0.25">
      <c r="A30" s="5" t="s">
        <v>52</v>
      </c>
      <c r="B30" s="5">
        <v>4739.71</v>
      </c>
      <c r="C30" s="5">
        <f t="shared" si="0"/>
        <v>0.47397100000000003</v>
      </c>
      <c r="D30" s="5">
        <f>B30/Dados!$B$7*100</f>
        <v>0.4579079508320914</v>
      </c>
      <c r="E30" s="5">
        <f>Dados!$B$3*(B30/Dados!$B$7)</f>
        <v>86.321326790439556</v>
      </c>
      <c r="F30" s="5">
        <f>E30*Dados!$B$4*Dados!$B$5*Dados!$B$6/86400</f>
        <v>0.26975414622012361</v>
      </c>
      <c r="G30" s="5"/>
    </row>
    <row r="31" spans="1:7" x14ac:dyDescent="0.25">
      <c r="A31" s="6" t="s">
        <v>53</v>
      </c>
      <c r="B31" s="6">
        <v>3094.52</v>
      </c>
      <c r="C31" s="6">
        <f t="shared" si="0"/>
        <v>0.309452</v>
      </c>
      <c r="D31" s="6">
        <f>B31/Dados!$B$7*100</f>
        <v>0.2989645594369536</v>
      </c>
      <c r="E31" s="6">
        <f>Dados!$B$3*(B31/Dados!$B$7)</f>
        <v>56.358526614402777</v>
      </c>
      <c r="F31" s="6">
        <f>E31*Dados!$B$4*Dados!$B$5*Dados!$B$6/86400</f>
        <v>0.17612039567000864</v>
      </c>
      <c r="G31" s="6"/>
    </row>
    <row r="32" spans="1:7" x14ac:dyDescent="0.25">
      <c r="A32" s="5" t="s">
        <v>54</v>
      </c>
      <c r="B32" s="5">
        <v>1834.81</v>
      </c>
      <c r="C32" s="5">
        <f t="shared" si="0"/>
        <v>0.18348100000000001</v>
      </c>
      <c r="D32" s="5">
        <f>B32/Dados!$B$7*100</f>
        <v>0.17726276233487484</v>
      </c>
      <c r="E32" s="5">
        <f>Dados!$B$3*(B32/Dados!$B$7)</f>
        <v>33.41622875837686</v>
      </c>
      <c r="F32" s="5">
        <f>E32*Dados!$B$4*Dados!$B$5*Dados!$B$6/86400</f>
        <v>0.10442571486992769</v>
      </c>
      <c r="G32" s="5"/>
    </row>
    <row r="33" spans="1:7" x14ac:dyDescent="0.25">
      <c r="A33" s="6" t="s">
        <v>55</v>
      </c>
      <c r="B33" s="6">
        <v>4421.01</v>
      </c>
      <c r="C33" s="6">
        <f t="shared" si="0"/>
        <v>0.44210100000000002</v>
      </c>
      <c r="D33" s="6">
        <f>B33/Dados!$B$7*100</f>
        <v>0.42711803669595488</v>
      </c>
      <c r="E33" s="6">
        <f>Dados!$B$3*(B33/Dados!$B$7)</f>
        <v>80.517046180842542</v>
      </c>
      <c r="F33" s="6">
        <f>E33*Dados!$B$4*Dados!$B$5*Dados!$B$6/86400</f>
        <v>0.25161576931513291</v>
      </c>
      <c r="G33" s="6"/>
    </row>
    <row r="34" spans="1:7" x14ac:dyDescent="0.25">
      <c r="A34" s="5" t="s">
        <v>56</v>
      </c>
      <c r="B34" s="5">
        <v>7317.13</v>
      </c>
      <c r="C34" s="5">
        <f t="shared" si="0"/>
        <v>0.73171300000000006</v>
      </c>
      <c r="D34" s="5">
        <f>B34/Dados!$B$7*100</f>
        <v>0.7069149809317492</v>
      </c>
      <c r="E34" s="5">
        <f>Dados!$B$3*(B34/Dados!$B$7)</f>
        <v>133.26223965139829</v>
      </c>
      <c r="F34" s="5">
        <f>E34*Dados!$B$4*Dados!$B$5*Dados!$B$6/86400</f>
        <v>0.41644449891061958</v>
      </c>
      <c r="G34" s="5"/>
    </row>
    <row r="35" spans="1:7" x14ac:dyDescent="0.25">
      <c r="A35" s="6" t="s">
        <v>57</v>
      </c>
      <c r="B35" s="6">
        <v>5396.53</v>
      </c>
      <c r="C35" s="6">
        <f t="shared" si="0"/>
        <v>0.53965299999999994</v>
      </c>
      <c r="D35" s="6">
        <f>B35/Dados!$B$7*100</f>
        <v>0.52136396401971985</v>
      </c>
      <c r="E35" s="6">
        <f>Dados!$B$3*(B35/Dados!$B$7)</f>
        <v>98.283572130871036</v>
      </c>
      <c r="F35" s="6">
        <f>E35*Dados!$B$4*Dados!$B$5*Dados!$B$6/86400</f>
        <v>0.30713616290897194</v>
      </c>
      <c r="G35" s="6"/>
    </row>
    <row r="36" spans="1:7" x14ac:dyDescent="0.25">
      <c r="A36" s="5" t="s">
        <v>58</v>
      </c>
      <c r="B36" s="5">
        <v>2998.53</v>
      </c>
      <c r="C36" s="5">
        <f t="shared" ref="C36:C66" si="1">B36/10000</f>
        <v>0.29985300000000004</v>
      </c>
      <c r="D36" s="5">
        <f>B36/Dados!$B$7*100</f>
        <v>0.28969087302990082</v>
      </c>
      <c r="E36" s="5">
        <f>Dados!$B$3*(B36/Dados!$B$7)</f>
        <v>54.610321732961879</v>
      </c>
      <c r="F36" s="5">
        <f>E36*Dados!$B$4*Dados!$B$5*Dados!$B$6/86400</f>
        <v>0.17065725541550586</v>
      </c>
      <c r="G36" s="5"/>
    </row>
    <row r="37" spans="1:7" x14ac:dyDescent="0.25">
      <c r="A37" s="6" t="s">
        <v>59</v>
      </c>
      <c r="B37" s="6">
        <v>7907.33</v>
      </c>
      <c r="C37" s="6">
        <f t="shared" si="1"/>
        <v>0.79073300000000002</v>
      </c>
      <c r="D37" s="6">
        <f>B37/Dados!$B$7*100</f>
        <v>0.76393477171664959</v>
      </c>
      <c r="E37" s="6">
        <f>Dados!$B$3*(B37/Dados!$B$7)</f>
        <v>144.01117725975774</v>
      </c>
      <c r="F37" s="6">
        <f>E37*Dados!$B$4*Dados!$B$5*Dados!$B$6/86400</f>
        <v>0.45003492893674296</v>
      </c>
      <c r="G37" s="6"/>
    </row>
    <row r="38" spans="1:7" x14ac:dyDescent="0.25">
      <c r="A38" s="5" t="s">
        <v>60</v>
      </c>
      <c r="B38" s="5">
        <v>6515.34</v>
      </c>
      <c r="C38" s="5">
        <f t="shared" si="1"/>
        <v>0.65153400000000006</v>
      </c>
      <c r="D38" s="5">
        <f>B38/Dados!$B$7*100</f>
        <v>0.62945327633428172</v>
      </c>
      <c r="E38" s="5">
        <f>Dados!$B$3*(B38/Dados!$B$7)</f>
        <v>118.65974780963866</v>
      </c>
      <c r="F38" s="5">
        <f>E38*Dados!$B$4*Dados!$B$5*Dados!$B$6/86400</f>
        <v>0.3708117119051208</v>
      </c>
      <c r="G38" s="5"/>
    </row>
    <row r="39" spans="1:7" x14ac:dyDescent="0.25">
      <c r="A39" s="6" t="s">
        <v>61</v>
      </c>
      <c r="B39" s="6">
        <v>8172.93</v>
      </c>
      <c r="C39" s="6">
        <f t="shared" si="1"/>
        <v>0.81729300000000005</v>
      </c>
      <c r="D39" s="6">
        <f>B39/Dados!$B$7*100</f>
        <v>0.78959464367949206</v>
      </c>
      <c r="E39" s="6">
        <f>Dados!$B$3*(B39/Dados!$B$7)</f>
        <v>148.84838130716588</v>
      </c>
      <c r="F39" s="6">
        <f>E39*Dados!$B$4*Dados!$B$5*Dados!$B$6/86400</f>
        <v>0.46515119158489338</v>
      </c>
      <c r="G39" s="6"/>
    </row>
    <row r="40" spans="1:7" x14ac:dyDescent="0.25">
      <c r="A40" s="5" t="s">
        <v>62</v>
      </c>
      <c r="B40" s="5">
        <v>14108.09</v>
      </c>
      <c r="C40" s="5">
        <f t="shared" si="1"/>
        <v>1.410809</v>
      </c>
      <c r="D40" s="5">
        <f>B40/Dados!$B$7*100</f>
        <v>1.3629961710853029</v>
      </c>
      <c r="E40" s="5">
        <f>Dados!$B$3*(B40/Dados!$B$7)</f>
        <v>256.94167940210104</v>
      </c>
      <c r="F40" s="5">
        <f>E40*Dados!$B$4*Dados!$B$5*Dados!$B$6/86400</f>
        <v>0.80294274813156574</v>
      </c>
      <c r="G40" s="5"/>
    </row>
    <row r="41" spans="1:7" x14ac:dyDescent="0.25">
      <c r="A41" s="6" t="s">
        <v>63</v>
      </c>
      <c r="B41" s="6">
        <v>11230.37</v>
      </c>
      <c r="C41" s="6">
        <f t="shared" si="1"/>
        <v>1.1230370000000001</v>
      </c>
      <c r="D41" s="6">
        <f>B41/Dados!$B$7*100</f>
        <v>1.0849768685818741</v>
      </c>
      <c r="E41" s="6">
        <f>Dados!$B$3*(B41/Dados!$B$7)</f>
        <v>204.5315934408537</v>
      </c>
      <c r="F41" s="6">
        <f>E41*Dados!$B$4*Dados!$B$5*Dados!$B$6/86400</f>
        <v>0.63916122950266774</v>
      </c>
      <c r="G41" s="6"/>
    </row>
    <row r="42" spans="1:7" x14ac:dyDescent="0.25">
      <c r="A42" s="5" t="s">
        <v>64</v>
      </c>
      <c r="B42" s="5">
        <v>7966.01</v>
      </c>
      <c r="C42" s="5">
        <f t="shared" si="1"/>
        <v>0.796601</v>
      </c>
      <c r="D42" s="5">
        <f>B42/Dados!$B$7*100</f>
        <v>0.76960390306747639</v>
      </c>
      <c r="E42" s="5">
        <f>Dados!$B$3*(B42/Dados!$B$7)</f>
        <v>145.07987881661734</v>
      </c>
      <c r="F42" s="5">
        <f>E42*Dados!$B$4*Dados!$B$5*Dados!$B$6/86400</f>
        <v>0.45337462130192924</v>
      </c>
      <c r="G42" s="5"/>
    </row>
    <row r="43" spans="1:7" x14ac:dyDescent="0.25">
      <c r="A43" s="6" t="s">
        <v>65</v>
      </c>
      <c r="B43" s="6">
        <v>9398.7099999999991</v>
      </c>
      <c r="C43" s="6">
        <f t="shared" si="1"/>
        <v>0.9398709999999999</v>
      </c>
      <c r="D43" s="6">
        <f>B43/Dados!$B$7*100</f>
        <v>0.90801843078270306</v>
      </c>
      <c r="E43" s="6">
        <f>Dados!$B$3*(B43/Dados!$B$7)</f>
        <v>171.17273363108126</v>
      </c>
      <c r="F43" s="6">
        <f>E43*Dados!$B$4*Dados!$B$5*Dados!$B$6/86400</f>
        <v>0.53491479259712893</v>
      </c>
      <c r="G43" s="6"/>
    </row>
    <row r="44" spans="1:7" x14ac:dyDescent="0.25">
      <c r="A44" s="5" t="s">
        <v>66</v>
      </c>
      <c r="B44" s="5">
        <v>4518.33</v>
      </c>
      <c r="C44" s="5">
        <f t="shared" si="1"/>
        <v>0.45183299999999998</v>
      </c>
      <c r="D44" s="5">
        <f>B44/Dados!$B$7*100</f>
        <v>0.43652021568474936</v>
      </c>
      <c r="E44" s="5">
        <f>Dados!$B$3*(B44/Dados!$B$7)</f>
        <v>82.289473507249753</v>
      </c>
      <c r="F44" s="5">
        <f>E44*Dados!$B$4*Dados!$B$5*Dados!$B$6/86400</f>
        <v>0.25715460471015544</v>
      </c>
      <c r="G44" s="5"/>
    </row>
    <row r="45" spans="1:7" x14ac:dyDescent="0.25">
      <c r="A45" s="6" t="s">
        <v>67</v>
      </c>
      <c r="B45" s="6">
        <v>8251.82</v>
      </c>
      <c r="C45" s="6">
        <f t="shared" si="1"/>
        <v>0.82518199999999997</v>
      </c>
      <c r="D45" s="6">
        <f>B45/Dados!$B$7*100</f>
        <v>0.79721628260700939</v>
      </c>
      <c r="E45" s="6">
        <f>Dados!$B$3*(B45/Dados!$B$7)</f>
        <v>150.2851547533256</v>
      </c>
      <c r="F45" s="6">
        <f>E45*Dados!$B$4*Dados!$B$5*Dados!$B$6/86400</f>
        <v>0.46964110860414249</v>
      </c>
      <c r="G45" s="6"/>
    </row>
    <row r="46" spans="1:7" x14ac:dyDescent="0.25">
      <c r="A46" s="5" t="s">
        <v>68</v>
      </c>
      <c r="B46" s="5">
        <v>7178.63</v>
      </c>
      <c r="C46" s="5">
        <f t="shared" si="1"/>
        <v>0.71786300000000003</v>
      </c>
      <c r="D46" s="5">
        <f>B46/Dados!$B$7*100</f>
        <v>0.6935343624571495</v>
      </c>
      <c r="E46" s="5">
        <f>Dados!$B$3*(B46/Dados!$B$7)</f>
        <v>130.73982714926717</v>
      </c>
      <c r="F46" s="5">
        <f>E46*Dados!$B$4*Dados!$B$5*Dados!$B$6/86400</f>
        <v>0.40856195984145988</v>
      </c>
      <c r="G46" s="5"/>
    </row>
    <row r="47" spans="1:7" x14ac:dyDescent="0.25">
      <c r="A47" s="6" t="s">
        <v>69</v>
      </c>
      <c r="B47" s="6">
        <v>3841.15</v>
      </c>
      <c r="C47" s="6">
        <f t="shared" si="1"/>
        <v>0.38411499999999998</v>
      </c>
      <c r="D47" s="6">
        <f>B47/Dados!$B$7*100</f>
        <v>0.37109720327587303</v>
      </c>
      <c r="E47" s="6">
        <f>Dados!$B$3*(B47/Dados!$B$7)</f>
        <v>69.956424422822693</v>
      </c>
      <c r="F47" s="6">
        <f>E47*Dados!$B$4*Dados!$B$5*Dados!$B$6/86400</f>
        <v>0.21861382632132093</v>
      </c>
      <c r="G47" s="6"/>
    </row>
    <row r="48" spans="1:7" x14ac:dyDescent="0.25">
      <c r="A48" s="5" t="s">
        <v>70</v>
      </c>
      <c r="B48" s="5">
        <v>13258.98</v>
      </c>
      <c r="C48" s="5">
        <f t="shared" si="1"/>
        <v>1.325898</v>
      </c>
      <c r="D48" s="5">
        <f>B48/Dados!$B$7*100</f>
        <v>1.2809628356848168</v>
      </c>
      <c r="E48" s="5">
        <f>Dados!$B$3*(B48/Dados!$B$7)</f>
        <v>241.47737846575049</v>
      </c>
      <c r="F48" s="5">
        <f>E48*Dados!$B$4*Dados!$B$5*Dados!$B$6/86400</f>
        <v>0.75461680770547013</v>
      </c>
      <c r="G48" s="5"/>
    </row>
    <row r="49" spans="1:7" x14ac:dyDescent="0.25">
      <c r="A49" s="6" t="s">
        <v>71</v>
      </c>
      <c r="B49" s="6">
        <v>7869.86</v>
      </c>
      <c r="C49" s="6">
        <f t="shared" si="1"/>
        <v>0.78698599999999996</v>
      </c>
      <c r="D49" s="6">
        <f>B49/Dados!$B$7*100</f>
        <v>0.76031475890622902</v>
      </c>
      <c r="E49" s="6">
        <f>Dados!$B$3*(B49/Dados!$B$7)</f>
        <v>143.32875995683463</v>
      </c>
      <c r="F49" s="6">
        <f>E49*Dados!$B$4*Dados!$B$5*Dados!$B$6/86400</f>
        <v>0.44790237486510825</v>
      </c>
      <c r="G49" s="6"/>
    </row>
    <row r="50" spans="1:7" x14ac:dyDescent="0.25">
      <c r="A50" s="5" t="s">
        <v>72</v>
      </c>
      <c r="B50" s="5">
        <v>16483.43</v>
      </c>
      <c r="C50" s="5">
        <f t="shared" si="1"/>
        <v>1.6483430000000001</v>
      </c>
      <c r="D50" s="5">
        <f>B50/Dados!$B$7*100</f>
        <v>1.5924800576373281</v>
      </c>
      <c r="E50" s="5">
        <f>Dados!$B$3*(B50/Dados!$B$7)</f>
        <v>300.2022376173511</v>
      </c>
      <c r="F50" s="5">
        <f>E50*Dados!$B$4*Dados!$B$5*Dados!$B$6/86400</f>
        <v>0.93813199255422219</v>
      </c>
      <c r="G50" s="5"/>
    </row>
    <row r="51" spans="1:7" x14ac:dyDescent="0.25">
      <c r="A51" s="6" t="s">
        <v>73</v>
      </c>
      <c r="B51" s="6">
        <v>991.06</v>
      </c>
      <c r="C51" s="6">
        <f t="shared" si="1"/>
        <v>9.9106E-2</v>
      </c>
      <c r="D51" s="6">
        <f>B51/Dados!$B$7*100</f>
        <v>9.5747261699904107E-2</v>
      </c>
      <c r="E51" s="6">
        <f>Dados!$B$3*(B51/Dados!$B$7)</f>
        <v>18.049546096477005</v>
      </c>
      <c r="F51" s="6">
        <f>E51*Dados!$B$4*Dados!$B$5*Dados!$B$6/86400</f>
        <v>5.6404831551490647E-2</v>
      </c>
      <c r="G51" s="6"/>
    </row>
    <row r="52" spans="1:7" x14ac:dyDescent="0.25">
      <c r="A52" s="5" t="s">
        <v>74</v>
      </c>
      <c r="B52" s="5">
        <v>1008.33</v>
      </c>
      <c r="C52" s="5">
        <f t="shared" si="1"/>
        <v>0.10083300000000001</v>
      </c>
      <c r="D52" s="5">
        <f>B52/Dados!$B$7*100</f>
        <v>9.7415733043271155E-2</v>
      </c>
      <c r="E52" s="5">
        <f>Dados!$B$3*(B52/Dados!$B$7)</f>
        <v>18.364073633746351</v>
      </c>
      <c r="F52" s="5">
        <f>E52*Dados!$B$4*Dados!$B$5*Dados!$B$6/86400</f>
        <v>5.7387730105457335E-2</v>
      </c>
      <c r="G52" s="5"/>
    </row>
    <row r="53" spans="1:7" x14ac:dyDescent="0.25">
      <c r="A53" s="6" t="s">
        <v>75</v>
      </c>
      <c r="B53" s="6">
        <v>1253.72</v>
      </c>
      <c r="C53" s="6">
        <f t="shared" si="1"/>
        <v>0.12537200000000001</v>
      </c>
      <c r="D53" s="6">
        <f>B53/Dados!$B$7*100</f>
        <v>0.12112309742942282</v>
      </c>
      <c r="E53" s="6">
        <f>Dados!$B$3*(B53/Dados!$B$7)</f>
        <v>22.833205791854329</v>
      </c>
      <c r="F53" s="6">
        <f>E53*Dados!$B$4*Dados!$B$5*Dados!$B$6/86400</f>
        <v>7.1353768099544773E-2</v>
      </c>
      <c r="G53" s="6"/>
    </row>
    <row r="54" spans="1:7" x14ac:dyDescent="0.25">
      <c r="A54" s="5" t="s">
        <v>76</v>
      </c>
      <c r="B54" s="5">
        <v>1492.44</v>
      </c>
      <c r="C54" s="5">
        <f t="shared" si="1"/>
        <v>0.14924400000000002</v>
      </c>
      <c r="D54" s="5">
        <f>B54/Dados!$B$7*100</f>
        <v>0.14418606668759196</v>
      </c>
      <c r="E54" s="5">
        <f>Dados!$B$3*(B54/Dados!$B$7)</f>
        <v>27.180861477838015</v>
      </c>
      <c r="F54" s="5">
        <f>E54*Dados!$B$4*Dados!$B$5*Dados!$B$6/86400</f>
        <v>8.4940192118243801E-2</v>
      </c>
      <c r="G54" s="5"/>
    </row>
    <row r="55" spans="1:7" x14ac:dyDescent="0.25">
      <c r="A55" s="6" t="s">
        <v>77</v>
      </c>
      <c r="B55" s="6">
        <v>1194.8900000000001</v>
      </c>
      <c r="C55" s="6">
        <f t="shared" si="1"/>
        <v>0.11948900000000001</v>
      </c>
      <c r="D55" s="6">
        <f>B55/Dados!$B$7*100</f>
        <v>0.11543947443403872</v>
      </c>
      <c r="E55" s="6">
        <f>Dados!$B$3*(B55/Dados!$B$7)</f>
        <v>21.761772380299284</v>
      </c>
      <c r="F55" s="6">
        <f>E55*Dados!$B$4*Dados!$B$5*Dados!$B$6/86400</f>
        <v>6.8005538688435244E-2</v>
      </c>
      <c r="G55" s="6"/>
    </row>
    <row r="56" spans="1:7" x14ac:dyDescent="0.25">
      <c r="A56" s="5" t="s">
        <v>78</v>
      </c>
      <c r="B56" s="5">
        <v>2914.79</v>
      </c>
      <c r="C56" s="5">
        <f t="shared" si="1"/>
        <v>0.29147899999999999</v>
      </c>
      <c r="D56" s="5">
        <f>B56/Dados!$B$7*100</f>
        <v>0.28160067092836305</v>
      </c>
      <c r="E56" s="5">
        <f>Dados!$B$3*(B56/Dados!$B$7)</f>
        <v>53.08521831831596</v>
      </c>
      <c r="F56" s="5">
        <f>E56*Dados!$B$4*Dados!$B$5*Dados!$B$6/86400</f>
        <v>0.16589130724473736</v>
      </c>
      <c r="G56" s="5"/>
    </row>
    <row r="57" spans="1:7" x14ac:dyDescent="0.25">
      <c r="A57" s="6" t="s">
        <v>79</v>
      </c>
      <c r="B57" s="6">
        <v>2454.67</v>
      </c>
      <c r="C57" s="6">
        <f t="shared" si="1"/>
        <v>0.24546700000000002</v>
      </c>
      <c r="D57" s="6">
        <f>B57/Dados!$B$7*100</f>
        <v>0.23714803430357762</v>
      </c>
      <c r="E57" s="6">
        <f>Dados!$B$3*(B57/Dados!$B$7)</f>
        <v>44.705345101849744</v>
      </c>
      <c r="F57" s="6">
        <f>E57*Dados!$B$4*Dados!$B$5*Dados!$B$6/86400</f>
        <v>0.13970420344328044</v>
      </c>
      <c r="G57" s="6"/>
    </row>
    <row r="58" spans="1:7" x14ac:dyDescent="0.25">
      <c r="A58" s="5" t="s">
        <v>80</v>
      </c>
      <c r="B58" s="5">
        <v>3069.34</v>
      </c>
      <c r="C58" s="5">
        <f t="shared" si="1"/>
        <v>0.30693400000000004</v>
      </c>
      <c r="D58" s="5">
        <f>B58/Dados!$B$7*100</f>
        <v>0.29653189537059682</v>
      </c>
      <c r="E58" s="5">
        <f>Dados!$B$3*(B58/Dados!$B$7)</f>
        <v>55.899939272860102</v>
      </c>
      <c r="F58" s="5">
        <f>E58*Dados!$B$4*Dados!$B$5*Dados!$B$6/86400</f>
        <v>0.1746873102276878</v>
      </c>
      <c r="G58" s="5"/>
    </row>
    <row r="59" spans="1:7" x14ac:dyDescent="0.25">
      <c r="A59" s="6" t="s">
        <v>81</v>
      </c>
      <c r="B59" s="6">
        <v>2557.19</v>
      </c>
      <c r="C59" s="6">
        <f t="shared" si="1"/>
        <v>0.25571900000000003</v>
      </c>
      <c r="D59" s="6">
        <f>B59/Dados!$B$7*100</f>
        <v>0.24705259030369281</v>
      </c>
      <c r="E59" s="6">
        <f>Dados!$B$3*(B59/Dados!$B$7)</f>
        <v>46.572476724365863</v>
      </c>
      <c r="F59" s="6">
        <f>E59*Dados!$B$4*Dados!$B$5*Dados!$B$6/86400</f>
        <v>0.14553898976364329</v>
      </c>
      <c r="G59" s="6"/>
    </row>
    <row r="60" spans="1:7" x14ac:dyDescent="0.25">
      <c r="A60" s="5" t="s">
        <v>82</v>
      </c>
      <c r="B60" s="5">
        <v>2482.8000000000002</v>
      </c>
      <c r="C60" s="5">
        <f t="shared" si="1"/>
        <v>0.24828000000000003</v>
      </c>
      <c r="D60" s="5">
        <f>B60/Dados!$B$7*100</f>
        <v>0.2398657007128952</v>
      </c>
      <c r="E60" s="5">
        <f>Dados!$B$3*(B60/Dados!$B$7)</f>
        <v>45.217658919069592</v>
      </c>
      <c r="F60" s="5">
        <f>E60*Dados!$B$4*Dados!$B$5*Dados!$B$6/86400</f>
        <v>0.14130518412209248</v>
      </c>
      <c r="G60" s="5"/>
    </row>
    <row r="61" spans="1:7" x14ac:dyDescent="0.25">
      <c r="A61" s="6" t="s">
        <v>83</v>
      </c>
      <c r="B61" s="6">
        <v>2483.27</v>
      </c>
      <c r="C61" s="6">
        <f t="shared" si="1"/>
        <v>0.24832699999999999</v>
      </c>
      <c r="D61" s="6">
        <f>B61/Dados!$B$7*100</f>
        <v>0.23991110786584149</v>
      </c>
      <c r="E61" s="6">
        <f>Dados!$B$3*(B61/Dados!$B$7)</f>
        <v>45.226218730448664</v>
      </c>
      <c r="F61" s="6">
        <f>E61*Dados!$B$4*Dados!$B$5*Dados!$B$6/86400</f>
        <v>0.14133193353265208</v>
      </c>
      <c r="G61" s="6"/>
    </row>
    <row r="62" spans="1:7" x14ac:dyDescent="0.25">
      <c r="A62" s="5" t="s">
        <v>84</v>
      </c>
      <c r="B62" s="5">
        <v>2101.48</v>
      </c>
      <c r="C62" s="5">
        <f t="shared" si="1"/>
        <v>0.210148</v>
      </c>
      <c r="D62" s="5">
        <f>B62/Dados!$B$7*100</f>
        <v>0.20302600802889278</v>
      </c>
      <c r="E62" s="5">
        <f>Dados!$B$3*(B62/Dados!$B$7)</f>
        <v>38.272920035945852</v>
      </c>
      <c r="F62" s="5">
        <f>E62*Dados!$B$4*Dados!$B$5*Dados!$B$6/86400</f>
        <v>0.11960287511233078</v>
      </c>
      <c r="G62" s="5"/>
    </row>
    <row r="63" spans="1:7" x14ac:dyDescent="0.25">
      <c r="A63" s="6" t="s">
        <v>85</v>
      </c>
      <c r="B63" s="6">
        <v>7007.65</v>
      </c>
      <c r="C63" s="6">
        <f t="shared" si="1"/>
        <v>0.70076499999999997</v>
      </c>
      <c r="D63" s="6">
        <f>B63/Dados!$B$7*100</f>
        <v>0.67701581988106985</v>
      </c>
      <c r="E63" s="6">
        <f>Dados!$B$3*(B63/Dados!$B$7)</f>
        <v>127.62587704374819</v>
      </c>
      <c r="F63" s="6">
        <f>E63*Dados!$B$4*Dados!$B$5*Dados!$B$6/86400</f>
        <v>0.39883086576171306</v>
      </c>
      <c r="G63" s="6"/>
    </row>
    <row r="64" spans="1:7" x14ac:dyDescent="0.25">
      <c r="A64" s="5" t="s">
        <v>86</v>
      </c>
      <c r="B64" s="5">
        <v>5676.28</v>
      </c>
      <c r="C64" s="5">
        <f t="shared" si="1"/>
        <v>0.56762800000000002</v>
      </c>
      <c r="D64" s="5">
        <f>B64/Dados!$B$7*100</f>
        <v>0.54839088111913681</v>
      </c>
      <c r="E64" s="5">
        <f>Dados!$B$3*(B64/Dados!$B$7)</f>
        <v>103.37848113788317</v>
      </c>
      <c r="F64" s="5">
        <f>E64*Dados!$B$4*Dados!$B$5*Dados!$B$6/86400</f>
        <v>0.32305775355588495</v>
      </c>
      <c r="G64" s="5"/>
    </row>
    <row r="65" spans="1:7" x14ac:dyDescent="0.25">
      <c r="A65" s="5" t="s">
        <v>88</v>
      </c>
      <c r="B65" s="5">
        <v>4932.37</v>
      </c>
      <c r="C65" s="5">
        <f t="shared" si="1"/>
        <v>0.49323699999999998</v>
      </c>
      <c r="D65" s="5">
        <f>B65/Dados!$B$7*100</f>
        <v>0.47652101910152361</v>
      </c>
      <c r="E65" s="5">
        <f>Dados!$B$3*(B65/Dados!$B$7)</f>
        <v>89.830120961274076</v>
      </c>
      <c r="F65" s="5">
        <f>E65*Dados!$B$4*Dados!$B$5*Dados!$B$6/86400</f>
        <v>0.28071912800398147</v>
      </c>
      <c r="G65" s="5"/>
    </row>
    <row r="66" spans="1:7" x14ac:dyDescent="0.25">
      <c r="A66" s="6" t="s">
        <v>89</v>
      </c>
      <c r="B66" s="6">
        <v>3642.53</v>
      </c>
      <c r="C66" s="6">
        <f t="shared" si="1"/>
        <v>0.36425299999999999</v>
      </c>
      <c r="D66" s="6">
        <f>B66/Dados!$B$7*100</f>
        <v>0.35190833366269625</v>
      </c>
      <c r="E66" s="6">
        <f>Dados!$B$3*(B66/Dados!$B$7)</f>
        <v>66.339084558755673</v>
      </c>
      <c r="F66" s="6">
        <f>E66*Dados!$B$4*Dados!$B$5*Dados!$B$6/86400</f>
        <v>0.20730963924611148</v>
      </c>
      <c r="G66" s="6"/>
    </row>
    <row r="67" spans="1:7" x14ac:dyDescent="0.25">
      <c r="A67" s="5" t="s">
        <v>90</v>
      </c>
      <c r="B67" s="5">
        <v>2923.13</v>
      </c>
      <c r="C67" s="5">
        <f t="shared" ref="C67:C98" si="2">B67/10000</f>
        <v>0.29231299999999999</v>
      </c>
      <c r="D67" s="5">
        <f>B67/Dados!$B$7*100</f>
        <v>0.28240640636575054</v>
      </c>
      <c r="E67" s="5">
        <f>Dados!$B$3*(B67/Dados!$B$7)</f>
        <v>53.237109439382913</v>
      </c>
      <c r="F67" s="5">
        <f>E67*Dados!$B$4*Dados!$B$5*Dados!$B$6/86400</f>
        <v>0.16636596699807157</v>
      </c>
      <c r="G67" s="5"/>
    </row>
    <row r="68" spans="1:7" x14ac:dyDescent="0.25">
      <c r="A68" s="6" t="s">
        <v>91</v>
      </c>
      <c r="B68" s="6">
        <v>7498.6</v>
      </c>
      <c r="C68" s="6">
        <f t="shared" si="2"/>
        <v>0.74986000000000008</v>
      </c>
      <c r="D68" s="6">
        <f>B68/Dados!$B$7*100</f>
        <v>0.7244469725172048</v>
      </c>
      <c r="E68" s="6">
        <f>Dados!$B$3*(B68/Dados!$B$7)</f>
        <v>136.56723746195235</v>
      </c>
      <c r="F68" s="6">
        <f>E68*Dados!$B$4*Dados!$B$5*Dados!$B$6/86400</f>
        <v>0.42677261706860103</v>
      </c>
      <c r="G68" s="6"/>
    </row>
    <row r="69" spans="1:7" x14ac:dyDescent="0.25">
      <c r="A69" s="5" t="s">
        <v>92</v>
      </c>
      <c r="B69" s="5">
        <v>6064.09</v>
      </c>
      <c r="C69" s="5">
        <f t="shared" si="2"/>
        <v>0.60640899999999998</v>
      </c>
      <c r="D69" s="5">
        <f>B69/Dados!$B$7*100</f>
        <v>0.585857578957653</v>
      </c>
      <c r="E69" s="5">
        <f>Dados!$B$3*(B69/Dados!$B$7)</f>
        <v>110.44141826749667</v>
      </c>
      <c r="F69" s="5">
        <f>E69*Dados!$B$4*Dados!$B$5*Dados!$B$6/86400</f>
        <v>0.34512943208592711</v>
      </c>
      <c r="G69" s="5"/>
    </row>
    <row r="70" spans="1:7" x14ac:dyDescent="0.25">
      <c r="A70" s="6" t="s">
        <v>93</v>
      </c>
      <c r="B70" s="6">
        <v>9825.44</v>
      </c>
      <c r="C70" s="6">
        <f t="shared" si="2"/>
        <v>0.98254400000000008</v>
      </c>
      <c r="D70" s="6">
        <f>B70/Dados!$B$7*100</f>
        <v>0.94924522732902739</v>
      </c>
      <c r="E70" s="6">
        <f>Dados!$B$3*(B70/Dados!$B$7)</f>
        <v>178.94449599234056</v>
      </c>
      <c r="F70" s="6">
        <f>E70*Dados!$B$4*Dados!$B$5*Dados!$B$6/86400</f>
        <v>0.5592015499760643</v>
      </c>
      <c r="G70" s="6"/>
    </row>
    <row r="71" spans="1:7" x14ac:dyDescent="0.25">
      <c r="A71" s="5" t="s">
        <v>94</v>
      </c>
      <c r="B71" s="5">
        <v>8676.6200000000008</v>
      </c>
      <c r="C71" s="5">
        <f t="shared" si="2"/>
        <v>0.86766200000000004</v>
      </c>
      <c r="D71" s="5">
        <f>B71/Dados!$B$7*100</f>
        <v>0.83825661999336276</v>
      </c>
      <c r="E71" s="5">
        <f>Dados!$B$3*(B71/Dados!$B$7)</f>
        <v>158.02176725083683</v>
      </c>
      <c r="F71" s="5">
        <f>E71*Dados!$B$4*Dados!$B$5*Dados!$B$6/86400</f>
        <v>0.49381802265886504</v>
      </c>
      <c r="G71" s="5"/>
    </row>
    <row r="72" spans="1:7" x14ac:dyDescent="0.25">
      <c r="A72" s="6" t="s">
        <v>95</v>
      </c>
      <c r="B72" s="6">
        <v>5512.62</v>
      </c>
      <c r="C72" s="6">
        <f t="shared" si="2"/>
        <v>0.55126200000000003</v>
      </c>
      <c r="D72" s="6">
        <f>B72/Dados!$B$7*100</f>
        <v>0.53257953079745468</v>
      </c>
      <c r="E72" s="6">
        <f>Dados!$B$3*(B72/Dados!$B$7)</f>
        <v>100.39784554150209</v>
      </c>
      <c r="F72" s="6">
        <f>E72*Dados!$B$4*Dados!$B$5*Dados!$B$6/86400</f>
        <v>0.31374326731719404</v>
      </c>
      <c r="G72" s="6"/>
    </row>
    <row r="73" spans="1:7" x14ac:dyDescent="0.25">
      <c r="A73" s="5" t="s">
        <v>96</v>
      </c>
      <c r="B73" s="5">
        <v>3428.03</v>
      </c>
      <c r="C73" s="5">
        <f t="shared" si="2"/>
        <v>0.34280300000000002</v>
      </c>
      <c r="D73" s="5">
        <f>B73/Dados!$B$7*100</f>
        <v>0.331185281945717</v>
      </c>
      <c r="E73" s="5">
        <f>Dados!$B$3*(B73/Dados!$B$7)</f>
        <v>62.432532344263791</v>
      </c>
      <c r="F73" s="5">
        <f>E73*Dados!$B$4*Dados!$B$5*Dados!$B$6/86400</f>
        <v>0.19510166357582437</v>
      </c>
      <c r="G73" s="5"/>
    </row>
    <row r="74" spans="1:7" x14ac:dyDescent="0.25">
      <c r="A74" s="6" t="s">
        <v>97</v>
      </c>
      <c r="B74" s="6">
        <v>3151.39</v>
      </c>
      <c r="C74" s="6">
        <f t="shared" si="2"/>
        <v>0.315139</v>
      </c>
      <c r="D74" s="6">
        <f>B74/Dados!$B$7*100</f>
        <v>0.30445882494345528</v>
      </c>
      <c r="E74" s="6">
        <f>Dados!$B$3*(B74/Dados!$B$7)</f>
        <v>57.394263791270625</v>
      </c>
      <c r="F74" s="6">
        <f>E74*Dados!$B$4*Dados!$B$5*Dados!$B$6/86400</f>
        <v>0.17935707434772069</v>
      </c>
      <c r="G74" s="6"/>
    </row>
    <row r="75" spans="1:7" x14ac:dyDescent="0.25">
      <c r="A75" s="5" t="s">
        <v>98</v>
      </c>
      <c r="B75" s="5">
        <v>4758.2700000000004</v>
      </c>
      <c r="C75" s="5">
        <f t="shared" si="2"/>
        <v>0.47582700000000006</v>
      </c>
      <c r="D75" s="5">
        <f>B75/Dados!$B$7*100</f>
        <v>0.45970105031865155</v>
      </c>
      <c r="E75" s="5">
        <f>Dados!$B$3*(B75/Dados!$B$7)</f>
        <v>86.65934827808978</v>
      </c>
      <c r="F75" s="5">
        <f>E75*Dados!$B$4*Dados!$B$5*Dados!$B$6/86400</f>
        <v>0.27081046336903059</v>
      </c>
      <c r="G75" s="5"/>
    </row>
    <row r="76" spans="1:7" x14ac:dyDescent="0.25">
      <c r="A76" s="6" t="s">
        <v>99</v>
      </c>
      <c r="B76" s="6">
        <v>9928.18</v>
      </c>
      <c r="C76" s="6">
        <f t="shared" si="2"/>
        <v>0.99281799999999998</v>
      </c>
      <c r="D76" s="6">
        <f>B76/Dados!$B$7*100</f>
        <v>0.95917103774115997</v>
      </c>
      <c r="E76" s="6">
        <f>Dados!$B$3*(B76/Dados!$B$7)</f>
        <v>180.81563433507668</v>
      </c>
      <c r="F76" s="6">
        <f>E76*Dados!$B$4*Dados!$B$5*Dados!$B$6/86400</f>
        <v>0.56504885729711463</v>
      </c>
      <c r="G76" s="6"/>
    </row>
    <row r="77" spans="1:7" x14ac:dyDescent="0.25">
      <c r="A77" s="5" t="s">
        <v>100</v>
      </c>
      <c r="B77" s="5">
        <v>11435.75</v>
      </c>
      <c r="C77" s="5">
        <f t="shared" si="2"/>
        <v>1.143575</v>
      </c>
      <c r="D77" s="5">
        <f>B77/Dados!$B$7*100</f>
        <v>1.1048188283097677</v>
      </c>
      <c r="E77" s="5">
        <f>Dados!$B$3*(B77/Dados!$B$7)</f>
        <v>208.27204888986228</v>
      </c>
      <c r="F77" s="5">
        <f>E77*Dados!$B$4*Dados!$B$5*Dados!$B$6/86400</f>
        <v>0.65085015278081959</v>
      </c>
      <c r="G77" s="5"/>
    </row>
    <row r="78" spans="1:7" x14ac:dyDescent="0.25">
      <c r="A78" s="6" t="s">
        <v>101</v>
      </c>
      <c r="B78" s="6">
        <v>6613.26</v>
      </c>
      <c r="C78" s="6">
        <f t="shared" si="2"/>
        <v>0.66132599999999997</v>
      </c>
      <c r="D78" s="6">
        <f>B78/Dados!$B$7*100</f>
        <v>0.63891342190130551</v>
      </c>
      <c r="E78" s="6">
        <f>Dados!$B$3*(B78/Dados!$B$7)</f>
        <v>120.44310255482768</v>
      </c>
      <c r="F78" s="6">
        <f>E78*Dados!$B$4*Dados!$B$5*Dados!$B$6/86400</f>
        <v>0.37638469548383646</v>
      </c>
      <c r="G78" s="6"/>
    </row>
    <row r="79" spans="1:7" x14ac:dyDescent="0.25">
      <c r="A79" s="5" t="s">
        <v>102</v>
      </c>
      <c r="B79" s="5">
        <v>5932.62</v>
      </c>
      <c r="C79" s="5">
        <f t="shared" si="2"/>
        <v>0.59326199999999996</v>
      </c>
      <c r="D79" s="5">
        <f>B79/Dados!$B$7*100</f>
        <v>0.5731561355579734</v>
      </c>
      <c r="E79" s="5">
        <f>Dados!$B$3*(B79/Dados!$B$7)</f>
        <v>108.0470386887589</v>
      </c>
      <c r="F79" s="5">
        <f>E79*Dados!$B$4*Dados!$B$5*Dados!$B$6/86400</f>
        <v>0.33764699590237152</v>
      </c>
      <c r="G79" s="5"/>
    </row>
    <row r="80" spans="1:7" x14ac:dyDescent="0.25">
      <c r="A80" s="6" t="s">
        <v>103</v>
      </c>
      <c r="B80" s="6">
        <v>5161.82</v>
      </c>
      <c r="C80" s="6">
        <f t="shared" si="2"/>
        <v>0.51618199999999992</v>
      </c>
      <c r="D80" s="6">
        <f>B80/Dados!$B$7*100</f>
        <v>0.49868840472604992</v>
      </c>
      <c r="E80" s="6">
        <f>Dados!$B$3*(B80/Dados!$B$7)</f>
        <v>94.008948027079015</v>
      </c>
      <c r="F80" s="6">
        <f>E80*Dados!$B$4*Dados!$B$5*Dados!$B$6/86400</f>
        <v>0.29377796258462191</v>
      </c>
      <c r="G80" s="6"/>
    </row>
    <row r="81" spans="1:7" x14ac:dyDescent="0.25">
      <c r="A81" s="5" t="s">
        <v>104</v>
      </c>
      <c r="B81" s="5">
        <v>7437.56</v>
      </c>
      <c r="C81" s="5">
        <f t="shared" si="2"/>
        <v>0.74375600000000008</v>
      </c>
      <c r="D81" s="5">
        <f>B81/Dados!$B$7*100</f>
        <v>0.71854983929200944</v>
      </c>
      <c r="E81" s="5">
        <f>Dados!$B$3*(B81/Dados!$B$7)</f>
        <v>135.45555472455101</v>
      </c>
      <c r="F81" s="5">
        <f>E81*Dados!$B$4*Dados!$B$5*Dados!$B$6/86400</f>
        <v>0.42329860851422196</v>
      </c>
      <c r="G81" s="5"/>
    </row>
    <row r="82" spans="1:7" x14ac:dyDescent="0.25">
      <c r="A82" s="6" t="s">
        <v>105</v>
      </c>
      <c r="B82" s="6">
        <v>4946.8599999999997</v>
      </c>
      <c r="C82" s="6">
        <f t="shared" si="2"/>
        <v>0.49468599999999996</v>
      </c>
      <c r="D82" s="6">
        <f>B82/Dados!$B$7*100</f>
        <v>0.47792091196576147</v>
      </c>
      <c r="E82" s="6">
        <f>Dados!$B$3*(B82/Dados!$B$7)</f>
        <v>90.094018124854429</v>
      </c>
      <c r="F82" s="6">
        <f>E82*Dados!$B$4*Dados!$B$5*Dados!$B$6/86400</f>
        <v>0.28154380664017009</v>
      </c>
      <c r="G82" s="6"/>
    </row>
    <row r="83" spans="1:7" x14ac:dyDescent="0.25">
      <c r="A83" s="5" t="s">
        <v>106</v>
      </c>
      <c r="B83" s="5">
        <v>6483.39</v>
      </c>
      <c r="C83" s="5">
        <f t="shared" si="2"/>
        <v>0.648339</v>
      </c>
      <c r="D83" s="5">
        <f>B83/Dados!$B$7*100</f>
        <v>0.62636655604357094</v>
      </c>
      <c r="E83" s="5">
        <f>Dados!$B$3*(B83/Dados!$B$7)</f>
        <v>118.07786275950806</v>
      </c>
      <c r="F83" s="5">
        <f>E83*Dados!$B$4*Dados!$B$5*Dados!$B$6/86400</f>
        <v>0.36899332112346267</v>
      </c>
      <c r="G83" s="5"/>
    </row>
    <row r="84" spans="1:7" x14ac:dyDescent="0.25">
      <c r="A84" s="6" t="s">
        <v>107</v>
      </c>
      <c r="B84" s="6">
        <v>1422.3</v>
      </c>
      <c r="C84" s="6">
        <f t="shared" si="2"/>
        <v>0.14223</v>
      </c>
      <c r="D84" s="6">
        <f>B84/Dados!$B$7*100</f>
        <v>0.13740977369258531</v>
      </c>
      <c r="E84" s="6">
        <f>Dados!$B$3*(B84/Dados!$B$7)</f>
        <v>25.903446222246121</v>
      </c>
      <c r="F84" s="6">
        <f>E84*Dados!$B$4*Dados!$B$5*Dados!$B$6/86400</f>
        <v>8.0948269444519133E-2</v>
      </c>
      <c r="G84" s="6"/>
    </row>
    <row r="85" spans="1:7" x14ac:dyDescent="0.25">
      <c r="A85" s="5" t="s">
        <v>108</v>
      </c>
      <c r="B85" s="5">
        <v>636.98</v>
      </c>
      <c r="C85" s="5">
        <f t="shared" si="2"/>
        <v>6.3698000000000005E-2</v>
      </c>
      <c r="D85" s="5">
        <f>B85/Dados!$B$7*100</f>
        <v>6.1539251667512486E-2</v>
      </c>
      <c r="E85" s="5">
        <f>Dados!$B$3*(B85/Dados!$B$7)</f>
        <v>11.600912026046782</v>
      </c>
      <c r="F85" s="5">
        <f>E85*Dados!$B$4*Dados!$B$5*Dados!$B$6/86400</f>
        <v>3.6252850081396198E-2</v>
      </c>
      <c r="G85" s="5"/>
    </row>
    <row r="86" spans="1:7" x14ac:dyDescent="0.25">
      <c r="A86" s="6" t="s">
        <v>109</v>
      </c>
      <c r="B86" s="6">
        <v>925.56</v>
      </c>
      <c r="C86" s="6">
        <f t="shared" si="2"/>
        <v>9.2555999999999999E-2</v>
      </c>
      <c r="D86" s="6">
        <f>B86/Dados!$B$7*100</f>
        <v>8.9419243576537494E-2</v>
      </c>
      <c r="E86" s="6">
        <f>Dados!$B$3*(B86/Dados!$B$7)</f>
        <v>16.856636212797667</v>
      </c>
      <c r="F86" s="6">
        <f>E86*Dados!$B$4*Dados!$B$5*Dados!$B$6/86400</f>
        <v>5.2676988164992708E-2</v>
      </c>
      <c r="G86" s="6"/>
    </row>
    <row r="87" spans="1:7" x14ac:dyDescent="0.25">
      <c r="A87" s="5" t="s">
        <v>110</v>
      </c>
      <c r="B87" s="5">
        <v>4493.6400000000003</v>
      </c>
      <c r="C87" s="5">
        <f t="shared" si="2"/>
        <v>0.44936400000000004</v>
      </c>
      <c r="D87" s="5">
        <f>B87/Dados!$B$7*100</f>
        <v>0.43413489099061325</v>
      </c>
      <c r="E87" s="5">
        <f>Dados!$B$3*(B87/Dados!$B$7)</f>
        <v>81.83981022437888</v>
      </c>
      <c r="F87" s="5">
        <f>E87*Dados!$B$4*Dados!$B$5*Dados!$B$6/86400</f>
        <v>0.25574940695118398</v>
      </c>
      <c r="G87" s="5"/>
    </row>
    <row r="88" spans="1:7" x14ac:dyDescent="0.25">
      <c r="A88" s="6" t="s">
        <v>111</v>
      </c>
      <c r="B88" s="6">
        <v>1575.92</v>
      </c>
      <c r="C88" s="6">
        <f t="shared" si="2"/>
        <v>0.15759200000000001</v>
      </c>
      <c r="D88" s="6">
        <f>B88/Dados!$B$7*100</f>
        <v>0.15225114993856367</v>
      </c>
      <c r="E88" s="6">
        <f>Dados!$B$3*(B88/Dados!$B$7)</f>
        <v>28.701229677678491</v>
      </c>
      <c r="F88" s="6">
        <f>E88*Dados!$B$4*Dados!$B$5*Dados!$B$6/86400</f>
        <v>8.9691342742745289E-2</v>
      </c>
      <c r="G88" s="6"/>
    </row>
    <row r="89" spans="1:7" x14ac:dyDescent="0.25">
      <c r="A89" s="5" t="s">
        <v>112</v>
      </c>
      <c r="B89" s="5">
        <v>4306.76</v>
      </c>
      <c r="C89" s="5">
        <f t="shared" si="2"/>
        <v>0.430676</v>
      </c>
      <c r="D89" s="5">
        <f>B89/Dados!$B$7*100</f>
        <v>0.41608023409145667</v>
      </c>
      <c r="E89" s="5">
        <f>Dados!$B$3*(B89/Dados!$B$7)</f>
        <v>78.436283521142315</v>
      </c>
      <c r="F89" s="5">
        <f>E89*Dados!$B$4*Dados!$B$5*Dados!$B$6/86400</f>
        <v>0.24511338600356972</v>
      </c>
      <c r="G89" s="5"/>
    </row>
    <row r="90" spans="1:7" x14ac:dyDescent="0.25">
      <c r="A90" s="6" t="s">
        <v>113</v>
      </c>
      <c r="B90" s="6">
        <v>4689.67</v>
      </c>
      <c r="C90" s="6">
        <f t="shared" si="2"/>
        <v>0.46896700000000002</v>
      </c>
      <c r="D90" s="6">
        <f>B90/Dados!$B$7*100</f>
        <v>0.45307353820776675</v>
      </c>
      <c r="E90" s="6">
        <f>Dados!$B$3*(B90/Dados!$B$7)</f>
        <v>85.409980064037811</v>
      </c>
      <c r="F90" s="6">
        <f>E90*Dados!$B$4*Dados!$B$5*Dados!$B$6/86400</f>
        <v>0.26690618770011815</v>
      </c>
      <c r="G90" s="6"/>
    </row>
    <row r="91" spans="1:7" x14ac:dyDescent="0.25">
      <c r="A91" s="5" t="s">
        <v>114</v>
      </c>
      <c r="B91" s="5">
        <v>1968.96</v>
      </c>
      <c r="C91" s="5">
        <f t="shared" si="2"/>
        <v>0.19689600000000002</v>
      </c>
      <c r="D91" s="5">
        <f>B91/Dados!$B$7*100</f>
        <v>0.19022312311731196</v>
      </c>
      <c r="E91" s="5">
        <f>Dados!$B$3*(B91/Dados!$B$7)</f>
        <v>35.859417474339963</v>
      </c>
      <c r="F91" s="5">
        <f>E91*Dados!$B$4*Dados!$B$5*Dados!$B$6/86400</f>
        <v>0.11206067960731239</v>
      </c>
      <c r="G91" s="5"/>
    </row>
    <row r="92" spans="1:7" x14ac:dyDescent="0.25">
      <c r="A92" s="6" t="s">
        <v>115</v>
      </c>
      <c r="B92" s="6">
        <v>2514.65</v>
      </c>
      <c r="C92" s="6">
        <f t="shared" si="2"/>
        <v>0.25146499999999999</v>
      </c>
      <c r="D92" s="6">
        <f>B92/Dados!$B$7*100</f>
        <v>0.24294275990723457</v>
      </c>
      <c r="E92" s="6">
        <f>Dados!$B$3*(B92/Dados!$B$7)</f>
        <v>45.797722732736567</v>
      </c>
      <c r="F92" s="6">
        <f>E92*Dados!$B$4*Dados!$B$5*Dados!$B$6/86400</f>
        <v>0.14311788353980176</v>
      </c>
      <c r="G92" s="6"/>
    </row>
    <row r="93" spans="1:7" x14ac:dyDescent="0.25">
      <c r="A93" s="5" t="s">
        <v>116</v>
      </c>
      <c r="B93" s="5">
        <v>2036.63</v>
      </c>
      <c r="C93" s="5">
        <f t="shared" si="2"/>
        <v>0.20366300000000001</v>
      </c>
      <c r="D93" s="5">
        <f>B93/Dados!$B$7*100</f>
        <v>0.19676078703194125</v>
      </c>
      <c r="E93" s="5">
        <f>Dados!$B$3*(B93/Dados!$B$7)</f>
        <v>37.091848189280128</v>
      </c>
      <c r="F93" s="5">
        <f>E93*Dados!$B$4*Dados!$B$5*Dados!$B$6/86400</f>
        <v>0.11591202559150041</v>
      </c>
      <c r="G93" s="5"/>
    </row>
    <row r="94" spans="1:7" x14ac:dyDescent="0.25">
      <c r="A94" s="6" t="s">
        <v>117</v>
      </c>
      <c r="B94" s="6">
        <v>5213.43</v>
      </c>
      <c r="C94" s="6">
        <f t="shared" si="2"/>
        <v>0.521343</v>
      </c>
      <c r="D94" s="6">
        <f>B94/Dados!$B$7*100</f>
        <v>0.50367449656340801</v>
      </c>
      <c r="E94" s="6">
        <f>Dados!$B$3*(B94/Dados!$B$7)</f>
        <v>94.948888165959801</v>
      </c>
      <c r="F94" s="6">
        <f>E94*Dados!$B$4*Dados!$B$5*Dados!$B$6/86400</f>
        <v>0.29671527551862442</v>
      </c>
      <c r="G94" s="6"/>
    </row>
    <row r="95" spans="1:7" x14ac:dyDescent="0.25">
      <c r="A95" s="5" t="s">
        <v>118</v>
      </c>
      <c r="B95" s="5">
        <v>3089.97</v>
      </c>
      <c r="C95" s="5">
        <f t="shared" si="2"/>
        <v>0.30899699999999997</v>
      </c>
      <c r="D95" s="5">
        <f>B95/Dados!$B$7*100</f>
        <v>0.29852497955204799</v>
      </c>
      <c r="E95" s="5">
        <f>Dados!$B$3*(B95/Dados!$B$7)</f>
        <v>56.275660355307494</v>
      </c>
      <c r="F95" s="5">
        <f>E95*Dados!$B$4*Dados!$B$5*Dados!$B$6/86400</f>
        <v>0.1758614386103359</v>
      </c>
      <c r="G95" s="5"/>
    </row>
    <row r="96" spans="1:7" x14ac:dyDescent="0.25">
      <c r="A96" s="6" t="s">
        <v>119</v>
      </c>
      <c r="B96" s="6">
        <v>4301.32</v>
      </c>
      <c r="C96" s="6">
        <f t="shared" si="2"/>
        <v>0.43013199999999996</v>
      </c>
      <c r="D96" s="6">
        <f>B96/Dados!$B$7*100</f>
        <v>0.4155546704488442</v>
      </c>
      <c r="E96" s="6">
        <f>Dados!$B$3*(B96/Dados!$B$7)</f>
        <v>78.3372082575207</v>
      </c>
      <c r="F96" s="6">
        <f>E96*Dados!$B$4*Dados!$B$5*Dados!$B$6/86400</f>
        <v>0.24480377580475218</v>
      </c>
      <c r="G96" s="6"/>
    </row>
    <row r="97" spans="1:7" x14ac:dyDescent="0.25">
      <c r="A97" s="5" t="s">
        <v>120</v>
      </c>
      <c r="B97" s="5">
        <v>4006.87</v>
      </c>
      <c r="C97" s="5">
        <f t="shared" si="2"/>
        <v>0.40068700000000002</v>
      </c>
      <c r="D97" s="5">
        <f>B97/Dados!$B$7*100</f>
        <v>0.38710757218280906</v>
      </c>
      <c r="E97" s="5">
        <f>Dados!$B$3*(B97/Dados!$B$7)</f>
        <v>72.974577490354577</v>
      </c>
      <c r="F97" s="5">
        <f>E97*Dados!$B$4*Dados!$B$5*Dados!$B$6/86400</f>
        <v>0.22804555465735807</v>
      </c>
      <c r="G97" s="5"/>
    </row>
    <row r="98" spans="1:7" x14ac:dyDescent="0.25">
      <c r="A98" s="6" t="s">
        <v>121</v>
      </c>
      <c r="B98" s="6">
        <v>4916.6899999999996</v>
      </c>
      <c r="C98" s="6">
        <f t="shared" si="2"/>
        <v>0.49166899999999997</v>
      </c>
      <c r="D98" s="6">
        <f>B98/Dados!$B$7*100</f>
        <v>0.47500615919046424</v>
      </c>
      <c r="E98" s="6">
        <f>Dados!$B$3*(B98/Dados!$B$7)</f>
        <v>89.544551083776483</v>
      </c>
      <c r="F98" s="6">
        <f>E98*Dados!$B$4*Dados!$B$5*Dados!$B$6/86400</f>
        <v>0.27982672213680149</v>
      </c>
      <c r="G98" s="6"/>
    </row>
    <row r="99" spans="1:7" x14ac:dyDescent="0.25">
      <c r="A99" s="5" t="s">
        <v>122</v>
      </c>
      <c r="B99" s="5">
        <v>4685.55</v>
      </c>
      <c r="C99" s="5">
        <f t="shared" ref="C99:C130" si="3">B99/10000</f>
        <v>0.468555</v>
      </c>
      <c r="D99" s="5">
        <f>B99/Dados!$B$7*100</f>
        <v>0.45267550103725884</v>
      </c>
      <c r="E99" s="5">
        <f>Dados!$B$3*(B99/Dados!$B$7)</f>
        <v>85.334945121736169</v>
      </c>
      <c r="F99" s="5">
        <f>E99*Dados!$B$4*Dados!$B$5*Dados!$B$6/86400</f>
        <v>0.26667170350542552</v>
      </c>
      <c r="G99" s="5"/>
    </row>
    <row r="100" spans="1:7" x14ac:dyDescent="0.25">
      <c r="A100" s="6" t="s">
        <v>123</v>
      </c>
      <c r="B100" s="6">
        <v>5767.19</v>
      </c>
      <c r="C100" s="6">
        <f t="shared" si="3"/>
        <v>0.57671899999999998</v>
      </c>
      <c r="D100" s="6">
        <f>B100/Dados!$B$7*100</f>
        <v>0.55717378383051475</v>
      </c>
      <c r="E100" s="6">
        <f>Dados!$B$3*(B100/Dados!$B$7)</f>
        <v>105.03416720697155</v>
      </c>
      <c r="F100" s="6">
        <f>E100*Dados!$B$4*Dados!$B$5*Dados!$B$6/86400</f>
        <v>0.32823177252178604</v>
      </c>
      <c r="G100" s="6"/>
    </row>
    <row r="101" spans="1:7" x14ac:dyDescent="0.25">
      <c r="A101" s="5" t="s">
        <v>124</v>
      </c>
      <c r="B101" s="5">
        <v>2936.9</v>
      </c>
      <c r="C101" s="5">
        <f t="shared" si="3"/>
        <v>0.29369000000000001</v>
      </c>
      <c r="D101" s="5">
        <f>B101/Dados!$B$7*100</f>
        <v>0.28373673933611321</v>
      </c>
      <c r="E101" s="5">
        <f>Dados!$B$3*(B101/Dados!$B$7)</f>
        <v>53.487893700425111</v>
      </c>
      <c r="F101" s="5">
        <f>E101*Dados!$B$4*Dados!$B$5*Dados!$B$6/86400</f>
        <v>0.16714966781382845</v>
      </c>
      <c r="G101" s="5"/>
    </row>
    <row r="102" spans="1:7" x14ac:dyDescent="0.25">
      <c r="A102" s="6" t="s">
        <v>125</v>
      </c>
      <c r="B102" s="6">
        <v>2295.19</v>
      </c>
      <c r="C102" s="6">
        <f t="shared" si="3"/>
        <v>0.229519</v>
      </c>
      <c r="D102" s="6">
        <f>B102/Dados!$B$7*100</f>
        <v>0.22174051781022633</v>
      </c>
      <c r="E102" s="6">
        <f>Dados!$B$3*(B102/Dados!$B$7)</f>
        <v>41.800837189648519</v>
      </c>
      <c r="F102" s="6">
        <f>E102*Dados!$B$4*Dados!$B$5*Dados!$B$6/86400</f>
        <v>0.13062761621765162</v>
      </c>
      <c r="G102" s="6"/>
    </row>
    <row r="103" spans="1:7" x14ac:dyDescent="0.25">
      <c r="A103" s="5" t="s">
        <v>126</v>
      </c>
      <c r="B103" s="5">
        <v>5305.23</v>
      </c>
      <c r="C103" s="5">
        <f t="shared" si="3"/>
        <v>0.53052299999999997</v>
      </c>
      <c r="D103" s="5">
        <f>B103/Dados!$B$7*100</f>
        <v>0.51254338303249269</v>
      </c>
      <c r="E103" s="5">
        <f>Dados!$B$3*(B103/Dados!$B$7)</f>
        <v>96.620783239574493</v>
      </c>
      <c r="F103" s="5">
        <f>E103*Dados!$B$4*Dados!$B$5*Dados!$B$6/86400</f>
        <v>0.30193994762367027</v>
      </c>
      <c r="G103" s="5"/>
    </row>
    <row r="104" spans="1:7" x14ac:dyDescent="0.25">
      <c r="A104" s="6" t="s">
        <v>127</v>
      </c>
      <c r="B104" s="6">
        <v>4605.26</v>
      </c>
      <c r="C104" s="6">
        <f t="shared" si="3"/>
        <v>0.46052600000000005</v>
      </c>
      <c r="D104" s="6">
        <f>B104/Dados!$B$7*100</f>
        <v>0.44491860676053968</v>
      </c>
      <c r="E104" s="6">
        <f>Dados!$B$3*(B104/Dados!$B$7)</f>
        <v>83.872674365085572</v>
      </c>
      <c r="F104" s="6">
        <f>E104*Dados!$B$4*Dados!$B$5*Dados!$B$6/86400</f>
        <v>0.2621021073908924</v>
      </c>
      <c r="G104" s="6"/>
    </row>
    <row r="105" spans="1:7" x14ac:dyDescent="0.25">
      <c r="A105" s="5" t="s">
        <v>128</v>
      </c>
      <c r="B105" s="5">
        <v>2963.56</v>
      </c>
      <c r="C105" s="5">
        <f t="shared" si="3"/>
        <v>0.29635600000000001</v>
      </c>
      <c r="D105" s="5">
        <f>B105/Dados!$B$7*100</f>
        <v>0.28631238762876898</v>
      </c>
      <c r="E105" s="5">
        <f>Dados!$B$3*(B105/Dados!$B$7)</f>
        <v>53.973435341629553</v>
      </c>
      <c r="F105" s="5">
        <f>E105*Dados!$B$4*Dados!$B$5*Dados!$B$6/86400</f>
        <v>0.16866698544259237</v>
      </c>
      <c r="G105" s="5"/>
    </row>
    <row r="106" spans="1:7" x14ac:dyDescent="0.25">
      <c r="A106" s="6" t="s">
        <v>129</v>
      </c>
      <c r="B106" s="6">
        <v>6627.38</v>
      </c>
      <c r="C106" s="6">
        <f t="shared" si="3"/>
        <v>0.66273800000000005</v>
      </c>
      <c r="D106" s="6">
        <f>B106/Dados!$B$7*100</f>
        <v>0.64027756870896868</v>
      </c>
      <c r="E106" s="6">
        <f>Dados!$B$3*(B106/Dados!$B$7)</f>
        <v>120.7002611434926</v>
      </c>
      <c r="F106" s="6">
        <f>E106*Dados!$B$4*Dados!$B$5*Dados!$B$6/86400</f>
        <v>0.37718831607341441</v>
      </c>
      <c r="G106" s="6"/>
    </row>
    <row r="107" spans="1:7" x14ac:dyDescent="0.25">
      <c r="A107" s="5" t="s">
        <v>130</v>
      </c>
      <c r="B107" s="5">
        <v>4643.01</v>
      </c>
      <c r="C107" s="5">
        <f t="shared" si="3"/>
        <v>0.46430100000000002</v>
      </c>
      <c r="D107" s="5">
        <f>B107/Dados!$B$7*100</f>
        <v>0.4485656706408005</v>
      </c>
      <c r="E107" s="5">
        <f>Dados!$B$3*(B107/Dados!$B$7)</f>
        <v>84.560191130106844</v>
      </c>
      <c r="F107" s="5">
        <f>E107*Dados!$B$4*Dados!$B$5*Dados!$B$6/86400</f>
        <v>0.2642505972815839</v>
      </c>
      <c r="G107" s="5"/>
    </row>
    <row r="108" spans="1:7" x14ac:dyDescent="0.25">
      <c r="A108" s="6" t="s">
        <v>131</v>
      </c>
      <c r="B108" s="6">
        <v>2919.89</v>
      </c>
      <c r="C108" s="6">
        <f t="shared" si="3"/>
        <v>0.291989</v>
      </c>
      <c r="D108" s="6">
        <f>B108/Dados!$B$7*100</f>
        <v>0.2820933868433122</v>
      </c>
      <c r="E108" s="6">
        <f>Dados!$B$3*(B108/Dados!$B$7)</f>
        <v>53.178101377961212</v>
      </c>
      <c r="F108" s="6">
        <f>E108*Dados!$B$4*Dados!$B$5*Dados!$B$6/86400</f>
        <v>0.16618156680612878</v>
      </c>
      <c r="G108" s="6"/>
    </row>
    <row r="109" spans="1:7" x14ac:dyDescent="0.25">
      <c r="A109" s="5" t="s">
        <v>132</v>
      </c>
      <c r="B109" s="5">
        <v>4495.3599999999997</v>
      </c>
      <c r="C109" s="5">
        <f t="shared" si="3"/>
        <v>0.44953599999999999</v>
      </c>
      <c r="D109" s="5">
        <f>B109/Dados!$B$7*100</f>
        <v>0.43430106184820388</v>
      </c>
      <c r="E109" s="5">
        <f>Dados!$B$3*(B109/Dados!$B$7)</f>
        <v>81.871135491553346</v>
      </c>
      <c r="F109" s="5">
        <f>E109*Dados!$B$4*Dados!$B$5*Dados!$B$6/86400</f>
        <v>0.25584729841110421</v>
      </c>
      <c r="G109" s="5"/>
    </row>
    <row r="110" spans="1:7" x14ac:dyDescent="0.25">
      <c r="A110" s="6" t="s">
        <v>133</v>
      </c>
      <c r="B110" s="6">
        <v>4233.95</v>
      </c>
      <c r="C110" s="6">
        <f t="shared" si="3"/>
        <v>0.42339499999999997</v>
      </c>
      <c r="D110" s="6">
        <f>B110/Dados!$B$7*100</f>
        <v>0.40904598982332951</v>
      </c>
      <c r="E110" s="6">
        <f>Dados!$B$3*(B110/Dados!$B$7)</f>
        <v>77.110241251971431</v>
      </c>
      <c r="F110" s="6">
        <f>E110*Dados!$B$4*Dados!$B$5*Dados!$B$6/86400</f>
        <v>0.2409695039124107</v>
      </c>
      <c r="G110" s="6"/>
    </row>
    <row r="111" spans="1:7" x14ac:dyDescent="0.25">
      <c r="A111" s="5" t="s">
        <v>134</v>
      </c>
      <c r="B111" s="5">
        <v>4207.6400000000003</v>
      </c>
      <c r="C111" s="5">
        <f t="shared" si="3"/>
        <v>0.42076400000000003</v>
      </c>
      <c r="D111" s="5">
        <f>B111/Dados!$B$7*100</f>
        <v>0.4065041553679743</v>
      </c>
      <c r="E111" s="5">
        <f>Dados!$B$3*(B111/Dados!$B$7)</f>
        <v>76.631073938389719</v>
      </c>
      <c r="F111" s="5">
        <f>E111*Dados!$B$4*Dados!$B$5*Dados!$B$6/86400</f>
        <v>0.23947210605746788</v>
      </c>
      <c r="G111" s="5"/>
    </row>
    <row r="112" spans="1:7" x14ac:dyDescent="0.25">
      <c r="A112" s="6" t="s">
        <v>135</v>
      </c>
      <c r="B112" s="6">
        <v>13110.29</v>
      </c>
      <c r="C112" s="6">
        <f t="shared" si="3"/>
        <v>1.311029</v>
      </c>
      <c r="D112" s="6">
        <f>B112/Dados!$B$7*100</f>
        <v>1.2665977514899562</v>
      </c>
      <c r="E112" s="6">
        <f>Dados!$B$3*(B112/Dados!$B$7)</f>
        <v>238.76938196797525</v>
      </c>
      <c r="F112" s="6">
        <f>E112*Dados!$B$4*Dados!$B$5*Dados!$B$6/86400</f>
        <v>0.74615431864992265</v>
      </c>
      <c r="G112" s="6"/>
    </row>
    <row r="113" spans="1:7" x14ac:dyDescent="0.25">
      <c r="A113" s="5" t="s">
        <v>136</v>
      </c>
      <c r="B113" s="5">
        <v>15688.03</v>
      </c>
      <c r="C113" s="5">
        <f t="shared" si="3"/>
        <v>1.5688030000000002</v>
      </c>
      <c r="D113" s="5">
        <f>B113/Dados!$B$7*100</f>
        <v>1.5156356970980029</v>
      </c>
      <c r="E113" s="5">
        <f>Dados!$B$3*(B113/Dados!$B$7)</f>
        <v>285.71612278561759</v>
      </c>
      <c r="F113" s="5">
        <f>E113*Dados!$B$4*Dados!$B$5*Dados!$B$6/86400</f>
        <v>0.89286288370505495</v>
      </c>
      <c r="G113" s="5"/>
    </row>
    <row r="114" spans="1:7" x14ac:dyDescent="0.25">
      <c r="A114" s="6" t="s">
        <v>137</v>
      </c>
      <c r="B114" s="6">
        <v>6584.71</v>
      </c>
      <c r="C114" s="6">
        <f t="shared" si="3"/>
        <v>0.65847100000000003</v>
      </c>
      <c r="D114" s="6">
        <f>B114/Dados!$B$7*100</f>
        <v>0.63615517888722739</v>
      </c>
      <c r="E114" s="6">
        <f>Dados!$B$3*(B114/Dados!$B$7)</f>
        <v>119.92313954446058</v>
      </c>
      <c r="F114" s="6">
        <f>E114*Dados!$B$4*Dados!$B$5*Dados!$B$6/86400</f>
        <v>0.3747598110764393</v>
      </c>
      <c r="G114" s="6"/>
    </row>
    <row r="115" spans="1:7" x14ac:dyDescent="0.25">
      <c r="A115" s="5" t="s">
        <v>138</v>
      </c>
      <c r="B115" s="5">
        <v>12772.37</v>
      </c>
      <c r="C115" s="5">
        <f t="shared" si="3"/>
        <v>1.2772370000000002</v>
      </c>
      <c r="D115" s="5">
        <f>B115/Dados!$B$7*100</f>
        <v>1.2339509746312074</v>
      </c>
      <c r="E115" s="5">
        <f>Dados!$B$3*(B115/Dados!$B$7)</f>
        <v>232.61505971006804</v>
      </c>
      <c r="F115" s="5">
        <f>E115*Dados!$B$4*Dados!$B$5*Dados!$B$6/86400</f>
        <v>0.72692206159396255</v>
      </c>
      <c r="G115" s="5"/>
    </row>
    <row r="116" spans="1:7" x14ac:dyDescent="0.25">
      <c r="A116" s="6" t="s">
        <v>139</v>
      </c>
      <c r="B116" s="6">
        <v>15947.97</v>
      </c>
      <c r="C116" s="6">
        <f t="shared" si="3"/>
        <v>1.594797</v>
      </c>
      <c r="D116" s="6">
        <f>B116/Dados!$B$7*100</f>
        <v>1.5407487510062152</v>
      </c>
      <c r="E116" s="6">
        <f>Dados!$B$3*(B116/Dados!$B$7)</f>
        <v>290.45024484918412</v>
      </c>
      <c r="F116" s="6">
        <f>E116*Dados!$B$4*Dados!$B$5*Dados!$B$6/86400</f>
        <v>0.90765701515370045</v>
      </c>
      <c r="G116" s="6"/>
    </row>
    <row r="117" spans="1:7" x14ac:dyDescent="0.25">
      <c r="A117" s="5" t="s">
        <v>140</v>
      </c>
      <c r="B117" s="5">
        <v>3231.47</v>
      </c>
      <c r="C117" s="5">
        <f t="shared" si="3"/>
        <v>0.32314699999999996</v>
      </c>
      <c r="D117" s="5">
        <f>B117/Dados!$B$7*100</f>
        <v>0.31219543091779423</v>
      </c>
      <c r="E117" s="5">
        <f>Dados!$B$3*(B117/Dados!$B$7)</f>
        <v>58.852709951347592</v>
      </c>
      <c r="F117" s="5">
        <f>E117*Dados!$B$4*Dados!$B$5*Dados!$B$6/86400</f>
        <v>0.18391471859796124</v>
      </c>
      <c r="G117" s="5"/>
    </row>
    <row r="118" spans="1:7" x14ac:dyDescent="0.25">
      <c r="A118" s="6" t="s">
        <v>141</v>
      </c>
      <c r="B118" s="6">
        <v>4442.2700000000004</v>
      </c>
      <c r="C118" s="6">
        <f t="shared" si="3"/>
        <v>0.44422700000000004</v>
      </c>
      <c r="D118" s="6">
        <f>B118/Dados!$B$7*100</f>
        <v>0.42917198578454696</v>
      </c>
      <c r="E118" s="6">
        <f>Dados!$B$3*(B118/Dados!$B$7)</f>
        <v>80.904241053010836</v>
      </c>
      <c r="F118" s="6">
        <f>E118*Dados!$B$4*Dados!$B$5*Dados!$B$6/86400</f>
        <v>0.25282575329065882</v>
      </c>
      <c r="G118" s="6"/>
    </row>
    <row r="119" spans="1:7" x14ac:dyDescent="0.25">
      <c r="A119" s="5" t="s">
        <v>142</v>
      </c>
      <c r="B119" s="5">
        <v>5911.97</v>
      </c>
      <c r="C119" s="5">
        <f t="shared" si="3"/>
        <v>0.59119699999999997</v>
      </c>
      <c r="D119" s="5">
        <f>B119/Dados!$B$7*100</f>
        <v>0.57116111915724799</v>
      </c>
      <c r="E119" s="5">
        <f>Dados!$B$3*(B119/Dados!$B$7)</f>
        <v>107.6709533590188</v>
      </c>
      <c r="F119" s="5">
        <f>E119*Dados!$B$4*Dados!$B$5*Dados!$B$6/86400</f>
        <v>0.33647172924693375</v>
      </c>
      <c r="G119" s="5"/>
    </row>
    <row r="120" spans="1:7" x14ac:dyDescent="0.25">
      <c r="A120" s="6" t="s">
        <v>143</v>
      </c>
      <c r="B120" s="6">
        <v>5445.11</v>
      </c>
      <c r="C120" s="6">
        <f t="shared" si="3"/>
        <v>0.54451099999999997</v>
      </c>
      <c r="D120" s="6">
        <f>B120/Dados!$B$7*100</f>
        <v>0.52605732463701982</v>
      </c>
      <c r="E120" s="6">
        <f>Dados!$B$3*(B120/Dados!$B$7)</f>
        <v>99.168328804903737</v>
      </c>
      <c r="F120" s="6">
        <f>E120*Dados!$B$4*Dados!$B$5*Dados!$B$6/86400</f>
        <v>0.30990102751532417</v>
      </c>
      <c r="G120" s="6"/>
    </row>
    <row r="121" spans="1:7" x14ac:dyDescent="0.25">
      <c r="A121" s="5" t="s">
        <v>144</v>
      </c>
      <c r="B121" s="5">
        <v>2822.91</v>
      </c>
      <c r="C121" s="5">
        <f t="shared" si="3"/>
        <v>0.28229099999999996</v>
      </c>
      <c r="D121" s="5">
        <f>B121/Dados!$B$7*100</f>
        <v>0.27272405558218099</v>
      </c>
      <c r="E121" s="5">
        <f>Dados!$B$3*(B121/Dados!$B$7)</f>
        <v>51.411866255530342</v>
      </c>
      <c r="F121" s="5">
        <f>E121*Dados!$B$4*Dados!$B$5*Dados!$B$6/86400</f>
        <v>0.1606620820485323</v>
      </c>
      <c r="G121" s="5"/>
    </row>
    <row r="122" spans="1:7" x14ac:dyDescent="0.25">
      <c r="A122" s="6" t="s">
        <v>145</v>
      </c>
      <c r="B122" s="6">
        <v>4417.16</v>
      </c>
      <c r="C122" s="6">
        <f t="shared" si="3"/>
        <v>0.441716</v>
      </c>
      <c r="D122" s="6">
        <f>B122/Dados!$B$7*100</f>
        <v>0.42674608448565016</v>
      </c>
      <c r="E122" s="6">
        <f>Dados!$B$3*(B122/Dados!$B$7)</f>
        <v>80.446928576992676</v>
      </c>
      <c r="F122" s="6">
        <f>E122*Dados!$B$4*Dados!$B$5*Dados!$B$6/86400</f>
        <v>0.25139665180310211</v>
      </c>
      <c r="G122" s="6"/>
    </row>
    <row r="123" spans="1:7" x14ac:dyDescent="0.25">
      <c r="A123" s="5" t="s">
        <v>146</v>
      </c>
      <c r="B123" s="5">
        <v>3955.21</v>
      </c>
      <c r="C123" s="5">
        <f t="shared" si="3"/>
        <v>0.39552100000000001</v>
      </c>
      <c r="D123" s="5">
        <f>B123/Dados!$B$7*100</f>
        <v>0.38211664979726528</v>
      </c>
      <c r="E123" s="5">
        <f>Dados!$B$3*(B123/Dados!$B$7)</f>
        <v>72.033726733242005</v>
      </c>
      <c r="F123" s="5">
        <f>E123*Dados!$B$4*Dados!$B$5*Dados!$B$6/86400</f>
        <v>0.22510539604138124</v>
      </c>
      <c r="G123" s="5"/>
    </row>
    <row r="124" spans="1:7" x14ac:dyDescent="0.25">
      <c r="A124" s="6" t="s">
        <v>147</v>
      </c>
      <c r="B124" s="6">
        <v>3130.78</v>
      </c>
      <c r="C124" s="6">
        <f t="shared" si="3"/>
        <v>0.31307800000000002</v>
      </c>
      <c r="D124" s="6">
        <f>B124/Dados!$B$7*100</f>
        <v>0.30246767298127847</v>
      </c>
      <c r="E124" s="6">
        <f>Dados!$B$3*(B124/Dados!$B$7)</f>
        <v>57.018906956115963</v>
      </c>
      <c r="F124" s="6">
        <f>E124*Dados!$B$4*Dados!$B$5*Dados!$B$6/86400</f>
        <v>0.17818408423786236</v>
      </c>
      <c r="G124" s="6"/>
    </row>
    <row r="125" spans="1:7" x14ac:dyDescent="0.25">
      <c r="A125" s="5" t="s">
        <v>148</v>
      </c>
      <c r="B125" s="5">
        <v>2028.58</v>
      </c>
      <c r="C125" s="5">
        <f t="shared" si="3"/>
        <v>0.20285799999999998</v>
      </c>
      <c r="D125" s="5">
        <f>B125/Dados!$B$7*100</f>
        <v>0.19598306877403132</v>
      </c>
      <c r="E125" s="5">
        <f>Dados!$B$3*(B125/Dados!$B$7)</f>
        <v>36.945238653957702</v>
      </c>
      <c r="F125" s="5">
        <f>E125*Dados!$B$4*Dados!$B$5*Dados!$B$6/86400</f>
        <v>0.11545387079361782</v>
      </c>
      <c r="G125" s="5"/>
    </row>
    <row r="126" spans="1:7" x14ac:dyDescent="0.25">
      <c r="A126" s="6" t="s">
        <v>149</v>
      </c>
      <c r="B126" s="6">
        <v>1688.55</v>
      </c>
      <c r="C126" s="6">
        <f t="shared" si="3"/>
        <v>0.16885500000000001</v>
      </c>
      <c r="D126" s="6">
        <f>B126/Dados!$B$7*100</f>
        <v>0.16313244278184275</v>
      </c>
      <c r="E126" s="6">
        <f>Dados!$B$3*(B126/Dados!$B$7)</f>
        <v>30.752488306667857</v>
      </c>
      <c r="F126" s="6">
        <f>E126*Dados!$B$4*Dados!$B$5*Dados!$B$6/86400</f>
        <v>9.6101525958337042E-2</v>
      </c>
      <c r="G126" s="6"/>
    </row>
    <row r="127" spans="1:7" x14ac:dyDescent="0.25">
      <c r="A127" s="5" t="s">
        <v>150</v>
      </c>
      <c r="B127" s="5">
        <v>4478.97</v>
      </c>
      <c r="C127" s="5">
        <f t="shared" si="3"/>
        <v>0.44789700000000005</v>
      </c>
      <c r="D127" s="5">
        <f>B127/Dados!$B$7*100</f>
        <v>0.4327176081529065</v>
      </c>
      <c r="E127" s="5">
        <f>Dados!$B$3*(B127/Dados!$B$7)</f>
        <v>81.572634835163981</v>
      </c>
      <c r="F127" s="5">
        <f>E127*Dados!$B$4*Dados!$B$5*Dados!$B$6/86400</f>
        <v>0.25491448385988741</v>
      </c>
      <c r="G127" s="5"/>
    </row>
    <row r="128" spans="1:7" x14ac:dyDescent="0.25">
      <c r="A128" s="6" t="s">
        <v>151</v>
      </c>
      <c r="B128" s="6">
        <v>6633.79</v>
      </c>
      <c r="C128" s="6">
        <f t="shared" si="3"/>
        <v>0.66337899999999994</v>
      </c>
      <c r="D128" s="6">
        <f>B128/Dados!$B$7*100</f>
        <v>0.64089684498638522</v>
      </c>
      <c r="E128" s="6">
        <f>Dados!$B$3*(B128/Dados!$B$7)</f>
        <v>120.81700240081145</v>
      </c>
      <c r="F128" s="6">
        <f>E128*Dados!$B$4*Dados!$B$5*Dados!$B$6/86400</f>
        <v>0.3775531325025358</v>
      </c>
      <c r="G128" s="6"/>
    </row>
    <row r="129" spans="1:7" x14ac:dyDescent="0.25">
      <c r="A129" s="5" t="s">
        <v>152</v>
      </c>
      <c r="B129" s="5">
        <v>6764</v>
      </c>
      <c r="C129" s="5">
        <f t="shared" si="3"/>
        <v>0.6764</v>
      </c>
      <c r="D129" s="5">
        <f>B129/Dados!$B$7*100</f>
        <v>0.65347655857178311</v>
      </c>
      <c r="E129" s="5">
        <f>Dados!$B$3*(B129/Dados!$B$7)</f>
        <v>123.18843440010743</v>
      </c>
      <c r="F129" s="5">
        <f>E129*Dados!$B$4*Dados!$B$5*Dados!$B$6/86400</f>
        <v>0.38496385750033568</v>
      </c>
      <c r="G129" s="5"/>
    </row>
    <row r="130" spans="1:7" x14ac:dyDescent="0.25">
      <c r="A130" s="6" t="s">
        <v>153</v>
      </c>
      <c r="B130" s="6">
        <v>5909.37</v>
      </c>
      <c r="C130" s="6">
        <f t="shared" si="3"/>
        <v>0.59093699999999993</v>
      </c>
      <c r="D130" s="6">
        <f>B130/Dados!$B$7*100</f>
        <v>0.57090993065158757</v>
      </c>
      <c r="E130" s="6">
        <f>Dados!$B$3*(B130/Dados!$B$7)</f>
        <v>107.62360121096434</v>
      </c>
      <c r="F130" s="6">
        <f>E130*Dados!$B$4*Dados!$B$5*Dados!$B$6/86400</f>
        <v>0.33632375378426349</v>
      </c>
      <c r="G130" s="6"/>
    </row>
    <row r="131" spans="1:7" x14ac:dyDescent="0.25">
      <c r="A131" s="5" t="s">
        <v>154</v>
      </c>
      <c r="B131" s="5">
        <v>4553.59</v>
      </c>
      <c r="C131" s="5">
        <f t="shared" ref="C131:C162" si="4">B131/10000</f>
        <v>0.45535900000000001</v>
      </c>
      <c r="D131" s="5">
        <f>B131/Dados!$B$7*100</f>
        <v>0.43992671826535867</v>
      </c>
      <c r="E131" s="5">
        <f>Dados!$B$3*(B131/Dados!$B$7)</f>
        <v>82.931641484326605</v>
      </c>
      <c r="F131" s="5">
        <f>E131*Dados!$B$4*Dados!$B$5*Dados!$B$6/86400</f>
        <v>0.25916137963852065</v>
      </c>
      <c r="G131" s="5"/>
    </row>
    <row r="132" spans="1:7" x14ac:dyDescent="0.25">
      <c r="A132" s="6" t="s">
        <v>155</v>
      </c>
      <c r="B132" s="6">
        <v>3826.85</v>
      </c>
      <c r="C132" s="6">
        <f t="shared" si="4"/>
        <v>0.382685</v>
      </c>
      <c r="D132" s="6">
        <f>B132/Dados!$B$7*100</f>
        <v>0.36971566649474102</v>
      </c>
      <c r="E132" s="6">
        <f>Dados!$B$3*(B132/Dados!$B$7)</f>
        <v>69.695987608523225</v>
      </c>
      <c r="F132" s="6">
        <f>E132*Dados!$B$4*Dados!$B$5*Dados!$B$6/86400</f>
        <v>0.21779996127663506</v>
      </c>
      <c r="G132" s="6"/>
    </row>
    <row r="133" spans="1:7" x14ac:dyDescent="0.25">
      <c r="A133" s="5" t="s">
        <v>156</v>
      </c>
      <c r="B133" s="5">
        <v>7408.72</v>
      </c>
      <c r="C133" s="5">
        <f t="shared" si="4"/>
        <v>0.74087199999999998</v>
      </c>
      <c r="D133" s="5">
        <f>B133/Dados!$B$7*100</f>
        <v>0.71576357909845378</v>
      </c>
      <c r="E133" s="5">
        <f>Dados!$B$3*(B133/Dados!$B$7)</f>
        <v>134.93031012843937</v>
      </c>
      <c r="F133" s="5">
        <f>E133*Dados!$B$4*Dados!$B$5*Dados!$B$6/86400</f>
        <v>0.421657219151373</v>
      </c>
      <c r="G133" s="5"/>
    </row>
    <row r="134" spans="1:7" x14ac:dyDescent="0.25">
      <c r="A134" s="6" t="s">
        <v>157</v>
      </c>
      <c r="B134" s="6">
        <v>2154.4299999999998</v>
      </c>
      <c r="C134" s="6">
        <f t="shared" si="4"/>
        <v>0.215443</v>
      </c>
      <c r="D134" s="6">
        <f>B134/Dados!$B$7*100</f>
        <v>0.20814155855762959</v>
      </c>
      <c r="E134" s="6">
        <f>Dados!$B$3*(B134/Dados!$B$7)</f>
        <v>39.237264743439297</v>
      </c>
      <c r="F134" s="6">
        <f>E134*Dados!$B$4*Dados!$B$5*Dados!$B$6/86400</f>
        <v>0.12261645232324782</v>
      </c>
      <c r="G134" s="6"/>
    </row>
    <row r="135" spans="1:7" x14ac:dyDescent="0.25">
      <c r="A135" s="5" t="s">
        <v>158</v>
      </c>
      <c r="B135" s="5">
        <v>2896.01</v>
      </c>
      <c r="C135" s="5">
        <f t="shared" si="4"/>
        <v>0.289601</v>
      </c>
      <c r="D135" s="5">
        <f>B135/Dados!$B$7*100</f>
        <v>0.27978631702978557</v>
      </c>
      <c r="E135" s="5">
        <f>Dados!$B$3*(B135/Dados!$B$7)</f>
        <v>52.743190110445759</v>
      </c>
      <c r="F135" s="5">
        <f>E135*Dados!$B$4*Dados!$B$5*Dados!$B$6/86400</f>
        <v>0.16482246909514298</v>
      </c>
      <c r="G135" s="5"/>
    </row>
    <row r="136" spans="1:7" x14ac:dyDescent="0.25">
      <c r="A136" s="6" t="s">
        <v>159</v>
      </c>
      <c r="B136" s="6">
        <v>6131.76</v>
      </c>
      <c r="C136" s="6">
        <f t="shared" si="4"/>
        <v>0.61317600000000005</v>
      </c>
      <c r="D136" s="6">
        <f>B136/Dados!$B$7*100</f>
        <v>0.59239524287228229</v>
      </c>
      <c r="E136" s="6">
        <f>Dados!$B$3*(B136/Dados!$B$7)</f>
        <v>111.67384898243684</v>
      </c>
      <c r="F136" s="6">
        <f>E136*Dados!$B$4*Dados!$B$5*Dados!$B$6/86400</f>
        <v>0.34898077807011507</v>
      </c>
      <c r="G136" s="6"/>
    </row>
    <row r="137" spans="1:7" x14ac:dyDescent="0.25">
      <c r="A137" s="5" t="s">
        <v>160</v>
      </c>
      <c r="B137" s="5">
        <v>16482.830000000002</v>
      </c>
      <c r="C137" s="5">
        <f t="shared" si="4"/>
        <v>1.6482830000000002</v>
      </c>
      <c r="D137" s="5">
        <f>B137/Dados!$B$7*100</f>
        <v>1.5924220910590992</v>
      </c>
      <c r="E137" s="5">
        <f>Dados!$B$3*(B137/Dados!$B$7)</f>
        <v>300.19131019856934</v>
      </c>
      <c r="F137" s="5">
        <f>E137*Dados!$B$4*Dados!$B$5*Dados!$B$6/86400</f>
        <v>0.93809784437052934</v>
      </c>
      <c r="G137" s="5"/>
    </row>
    <row r="138" spans="1:7" x14ac:dyDescent="0.25">
      <c r="A138" s="6" t="s">
        <v>161</v>
      </c>
      <c r="B138" s="6">
        <v>9864.82</v>
      </c>
      <c r="C138" s="6">
        <f t="shared" si="4"/>
        <v>0.98648199999999997</v>
      </c>
      <c r="D138" s="6">
        <f>B138/Dados!$B$7*100</f>
        <v>0.95304976708014444</v>
      </c>
      <c r="E138" s="6">
        <f>Dados!$B$3*(B138/Dados!$B$7)</f>
        <v>179.66169891171904</v>
      </c>
      <c r="F138" s="6">
        <f>E138*Dados!$B$4*Dados!$B$5*Dados!$B$6/86400</f>
        <v>0.56144280909912203</v>
      </c>
      <c r="G138" s="6"/>
    </row>
    <row r="139" spans="1:7" x14ac:dyDescent="0.25">
      <c r="A139" s="5" t="s">
        <v>162</v>
      </c>
      <c r="B139" s="5">
        <v>5435.52</v>
      </c>
      <c r="C139" s="5">
        <f t="shared" si="4"/>
        <v>0.54355200000000004</v>
      </c>
      <c r="D139" s="5">
        <f>B139/Dados!$B$7*100</f>
        <v>0.52513082549498802</v>
      </c>
      <c r="E139" s="5">
        <f>Dados!$B$3*(B139/Dados!$B$7)</f>
        <v>98.99367222804139</v>
      </c>
      <c r="F139" s="5">
        <f>E139*Dados!$B$4*Dados!$B$5*Dados!$B$6/86400</f>
        <v>0.30935522571262936</v>
      </c>
      <c r="G139" s="5"/>
    </row>
    <row r="140" spans="1:7" x14ac:dyDescent="0.25">
      <c r="A140" s="6" t="s">
        <v>163</v>
      </c>
      <c r="B140" s="6">
        <v>4628.5</v>
      </c>
      <c r="C140" s="6">
        <f t="shared" si="4"/>
        <v>0.46284999999999998</v>
      </c>
      <c r="D140" s="6">
        <f>B140/Dados!$B$7*100</f>
        <v>0.44716384555728833</v>
      </c>
      <c r="E140" s="6">
        <f>Dados!$B$3*(B140/Dados!$B$7)</f>
        <v>84.295929719233769</v>
      </c>
      <c r="F140" s="6">
        <f>E140*Dados!$B$4*Dados!$B$5*Dados!$B$6/86400</f>
        <v>0.26342478037260553</v>
      </c>
      <c r="G140" s="6"/>
    </row>
    <row r="141" spans="1:7" x14ac:dyDescent="0.25">
      <c r="A141" s="5" t="s">
        <v>164</v>
      </c>
      <c r="B141" s="5">
        <v>6372.64</v>
      </c>
      <c r="C141" s="5">
        <f t="shared" si="4"/>
        <v>0.63726400000000005</v>
      </c>
      <c r="D141" s="5">
        <f>B141/Dados!$B$7*100</f>
        <v>0.6156668918120769</v>
      </c>
      <c r="E141" s="5">
        <f>Dados!$B$3*(B141/Dados!$B$7)</f>
        <v>116.06084337603498</v>
      </c>
      <c r="F141" s="5">
        <f>E141*Dados!$B$4*Dados!$B$5*Dados!$B$6/86400</f>
        <v>0.36269013555010932</v>
      </c>
      <c r="G141" s="5"/>
    </row>
    <row r="142" spans="1:7" x14ac:dyDescent="0.25">
      <c r="A142" s="6" t="s">
        <v>165</v>
      </c>
      <c r="B142" s="6">
        <v>4545.78</v>
      </c>
      <c r="C142" s="6">
        <f t="shared" si="4"/>
        <v>0.45457799999999998</v>
      </c>
      <c r="D142" s="6">
        <f>B142/Dados!$B$7*100</f>
        <v>0.43917218663874041</v>
      </c>
      <c r="E142" s="6">
        <f>Dados!$B$3*(B142/Dados!$B$7)</f>
        <v>82.789402916516892</v>
      </c>
      <c r="F142" s="6">
        <f>E142*Dados!$B$4*Dados!$B$5*Dados!$B$6/86400</f>
        <v>0.25871688411411525</v>
      </c>
      <c r="G142" s="6"/>
    </row>
    <row r="143" spans="1:7" x14ac:dyDescent="0.25">
      <c r="A143" s="5" t="s">
        <v>166</v>
      </c>
      <c r="B143" s="5">
        <v>5502.61</v>
      </c>
      <c r="C143" s="5">
        <f t="shared" si="4"/>
        <v>0.550261</v>
      </c>
      <c r="D143" s="5">
        <f>B143/Dados!$B$7*100</f>
        <v>0.53161245505066224</v>
      </c>
      <c r="E143" s="5">
        <f>Dados!$B$3*(B143/Dados!$B$7)</f>
        <v>100.21553977149247</v>
      </c>
      <c r="F143" s="5">
        <f>E143*Dados!$B$4*Dados!$B$5*Dados!$B$6/86400</f>
        <v>0.31317356178591393</v>
      </c>
      <c r="G143" s="5"/>
    </row>
    <row r="144" spans="1:7" x14ac:dyDescent="0.25">
      <c r="A144" s="6" t="s">
        <v>167</v>
      </c>
      <c r="B144" s="6">
        <v>2802.44</v>
      </c>
      <c r="C144" s="6">
        <f t="shared" si="4"/>
        <v>0.28024399999999999</v>
      </c>
      <c r="D144" s="6">
        <f>B144/Dados!$B$7*100</f>
        <v>0.27074642915492431</v>
      </c>
      <c r="E144" s="6">
        <f>Dados!$B$3*(B144/Dados!$B$7)</f>
        <v>51.039059151424759</v>
      </c>
      <c r="F144" s="6">
        <f>E144*Dados!$B$4*Dados!$B$5*Dados!$B$6/86400</f>
        <v>0.15949705984820239</v>
      </c>
      <c r="G144" s="6"/>
    </row>
    <row r="145" spans="1:7" x14ac:dyDescent="0.25">
      <c r="A145" s="5" t="s">
        <v>168</v>
      </c>
      <c r="B145" s="5">
        <v>6167.31</v>
      </c>
      <c r="C145" s="5">
        <f t="shared" si="4"/>
        <v>0.61673100000000003</v>
      </c>
      <c r="D145" s="5">
        <f>B145/Dados!$B$7*100</f>
        <v>0.59582976263236909</v>
      </c>
      <c r="E145" s="5">
        <f>Dados!$B$3*(B145/Dados!$B$7)</f>
        <v>112.32129854525822</v>
      </c>
      <c r="F145" s="5">
        <f>E145*Dados!$B$4*Dados!$B$5*Dados!$B$6/86400</f>
        <v>0.35100405795393197</v>
      </c>
      <c r="G145" s="5"/>
    </row>
    <row r="146" spans="1:7" x14ac:dyDescent="0.25">
      <c r="A146" s="6" t="s">
        <v>169</v>
      </c>
      <c r="B146" s="6">
        <v>5383.52</v>
      </c>
      <c r="C146" s="6">
        <f t="shared" si="4"/>
        <v>0.53835200000000005</v>
      </c>
      <c r="D146" s="6">
        <f>B146/Dados!$B$7*100</f>
        <v>0.52010705538178092</v>
      </c>
      <c r="E146" s="6">
        <f>Dados!$B$3*(B146/Dados!$B$7)</f>
        <v>98.046629266952451</v>
      </c>
      <c r="F146" s="6">
        <f>E146*Dados!$B$4*Dados!$B$5*Dados!$B$6/86400</f>
        <v>0.30639571645922642</v>
      </c>
      <c r="G146" s="6"/>
    </row>
    <row r="147" spans="1:7" x14ac:dyDescent="0.25">
      <c r="A147" s="5" t="s">
        <v>170</v>
      </c>
      <c r="B147" s="5">
        <v>6492.47</v>
      </c>
      <c r="C147" s="5">
        <f t="shared" si="4"/>
        <v>0.64924700000000002</v>
      </c>
      <c r="D147" s="5">
        <f>B147/Dados!$B$7*100</f>
        <v>0.62724378359410782</v>
      </c>
      <c r="E147" s="5">
        <f>Dados!$B$3*(B147/Dados!$B$7)</f>
        <v>118.24323103040589</v>
      </c>
      <c r="F147" s="5">
        <f>E147*Dados!$B$4*Dados!$B$5*Dados!$B$6/86400</f>
        <v>0.36951009697001846</v>
      </c>
      <c r="G147" s="5"/>
    </row>
    <row r="148" spans="1:7" x14ac:dyDescent="0.25">
      <c r="A148" s="6" t="s">
        <v>171</v>
      </c>
      <c r="B148" s="6">
        <v>6698.39</v>
      </c>
      <c r="C148" s="6">
        <f t="shared" si="4"/>
        <v>0.66983900000000007</v>
      </c>
      <c r="D148" s="6">
        <f>B148/Dados!$B$7*100</f>
        <v>0.64713791324240788</v>
      </c>
      <c r="E148" s="6">
        <f>Dados!$B$3*(B148/Dados!$B$7)</f>
        <v>121.9935211563181</v>
      </c>
      <c r="F148" s="6">
        <f>E148*Dados!$B$4*Dados!$B$5*Dados!$B$6/86400</f>
        <v>0.38122975361349409</v>
      </c>
      <c r="G148" s="6"/>
    </row>
    <row r="149" spans="1:7" x14ac:dyDescent="0.25">
      <c r="A149" s="5" t="s">
        <v>172</v>
      </c>
      <c r="B149" s="5">
        <v>5061.96</v>
      </c>
      <c r="C149" s="5">
        <f t="shared" si="4"/>
        <v>0.50619599999999998</v>
      </c>
      <c r="D149" s="5">
        <f>B149/Dados!$B$7*100</f>
        <v>0.48904083388941799</v>
      </c>
      <c r="E149" s="5">
        <f>Dados!$B$3*(B149/Dados!$B$7)</f>
        <v>92.190261294495528</v>
      </c>
      <c r="F149" s="5">
        <f>E149*Dados!$B$4*Dados!$B$5*Dados!$B$6/86400</f>
        <v>0.28809456654529852</v>
      </c>
      <c r="G149" s="5"/>
    </row>
    <row r="150" spans="1:7" x14ac:dyDescent="0.25">
      <c r="A150" s="6" t="s">
        <v>173</v>
      </c>
      <c r="B150" s="6">
        <v>6238.13</v>
      </c>
      <c r="C150" s="6">
        <f t="shared" si="4"/>
        <v>0.62381300000000006</v>
      </c>
      <c r="D150" s="6">
        <f>B150/Dados!$B$7*100</f>
        <v>0.60267175108270221</v>
      </c>
      <c r="E150" s="6">
        <f>Dados!$B$3*(B150/Dados!$B$7)</f>
        <v>113.6110982088028</v>
      </c>
      <c r="F150" s="6">
        <f>E150*Dados!$B$4*Dados!$B$5*Dados!$B$6/86400</f>
        <v>0.35503468190250875</v>
      </c>
      <c r="G150" s="6"/>
    </row>
    <row r="151" spans="1:7" x14ac:dyDescent="0.25">
      <c r="A151" s="5" t="s">
        <v>174</v>
      </c>
      <c r="B151" s="5">
        <v>8391.2199999999993</v>
      </c>
      <c r="C151" s="5">
        <f t="shared" si="4"/>
        <v>0.83912199999999992</v>
      </c>
      <c r="D151" s="5">
        <f>B151/Dados!$B$7*100</f>
        <v>0.81068385094895301</v>
      </c>
      <c r="E151" s="5">
        <f>Dados!$B$3*(B151/Dados!$B$7)</f>
        <v>152.82395838362942</v>
      </c>
      <c r="F151" s="5">
        <f>E151*Dados!$B$4*Dados!$B$5*Dados!$B$6/86400</f>
        <v>0.47757486994884185</v>
      </c>
      <c r="G151" s="5"/>
    </row>
    <row r="152" spans="1:7" x14ac:dyDescent="0.25">
      <c r="A152" s="6" t="s">
        <v>175</v>
      </c>
      <c r="B152" s="6">
        <v>8832.7199999999993</v>
      </c>
      <c r="C152" s="6">
        <f t="shared" si="4"/>
        <v>0.88327199999999995</v>
      </c>
      <c r="D152" s="6">
        <f>B152/Dados!$B$7*100</f>
        <v>0.85333759142935528</v>
      </c>
      <c r="E152" s="6">
        <f>Dados!$B$3*(B152/Dados!$B$7)</f>
        <v>160.86471737056721</v>
      </c>
      <c r="F152" s="6">
        <f>E152*Dados!$B$4*Dados!$B$5*Dados!$B$6/86400</f>
        <v>0.50270224178302247</v>
      </c>
      <c r="G152" s="6"/>
    </row>
    <row r="153" spans="1:7" x14ac:dyDescent="0.25">
      <c r="A153" s="5" t="s">
        <v>176</v>
      </c>
      <c r="B153" s="5">
        <v>3103.88</v>
      </c>
      <c r="C153" s="5">
        <f t="shared" si="4"/>
        <v>0.310388</v>
      </c>
      <c r="D153" s="5">
        <f>B153/Dados!$B$7*100</f>
        <v>0.29986883805733094</v>
      </c>
      <c r="E153" s="5">
        <f>Dados!$B$3*(B153/Dados!$B$7)</f>
        <v>56.528994347398793</v>
      </c>
      <c r="F153" s="5">
        <f>E153*Dados!$B$4*Dados!$B$5*Dados!$B$6/86400</f>
        <v>0.1766531073356212</v>
      </c>
      <c r="G153" s="5"/>
    </row>
    <row r="154" spans="1:7" x14ac:dyDescent="0.25">
      <c r="A154" s="6" t="s">
        <v>177</v>
      </c>
      <c r="B154" s="6">
        <v>4415.04</v>
      </c>
      <c r="C154" s="6">
        <f t="shared" si="4"/>
        <v>0.44150400000000001</v>
      </c>
      <c r="D154" s="6">
        <f>B154/Dados!$B$7*100</f>
        <v>0.4265412692425733</v>
      </c>
      <c r="E154" s="6">
        <f>Dados!$B$3*(B154/Dados!$B$7)</f>
        <v>80.408318363963673</v>
      </c>
      <c r="F154" s="6">
        <f>E154*Dados!$B$4*Dados!$B$5*Dados!$B$6/86400</f>
        <v>0.2512759948873865</v>
      </c>
      <c r="G154" s="6"/>
    </row>
    <row r="155" spans="1:7" x14ac:dyDescent="0.25">
      <c r="A155" s="5" t="s">
        <v>178</v>
      </c>
      <c r="B155" s="5">
        <v>2674.99</v>
      </c>
      <c r="C155" s="5">
        <f t="shared" si="4"/>
        <v>0.26749899999999999</v>
      </c>
      <c r="D155" s="5">
        <f>B155/Dados!$B$7*100</f>
        <v>0.25843336182938115</v>
      </c>
      <c r="E155" s="5">
        <f>Dados!$B$3*(B155/Dados!$B$7)</f>
        <v>48.717893278525032</v>
      </c>
      <c r="F155" s="5">
        <f>E155*Dados!$B$4*Dados!$B$5*Dados!$B$6/86400</f>
        <v>0.15224341649539072</v>
      </c>
      <c r="G155" s="5"/>
    </row>
    <row r="156" spans="1:7" x14ac:dyDescent="0.25">
      <c r="A156" s="6" t="s">
        <v>179</v>
      </c>
      <c r="B156" s="6">
        <v>3501.36</v>
      </c>
      <c r="C156" s="6">
        <f t="shared" si="4"/>
        <v>0.350136</v>
      </c>
      <c r="D156" s="6">
        <f>B156/Dados!$B$7*100</f>
        <v>0.33826976391497615</v>
      </c>
      <c r="E156" s="6">
        <f>Dados!$B$3*(B156/Dados!$B$7)</f>
        <v>63.768045043045554</v>
      </c>
      <c r="F156" s="6">
        <f>E156*Dados!$B$4*Dados!$B$5*Dados!$B$6/86400</f>
        <v>0.19927514075951733</v>
      </c>
      <c r="G156" s="6"/>
    </row>
    <row r="157" spans="1:7" x14ac:dyDescent="0.25">
      <c r="A157" s="5" t="s">
        <v>180</v>
      </c>
      <c r="B157" s="5">
        <v>1440.14</v>
      </c>
      <c r="C157" s="5">
        <f t="shared" si="4"/>
        <v>0.144014</v>
      </c>
      <c r="D157" s="5">
        <f>B157/Dados!$B$7*100</f>
        <v>0.13913331328527023</v>
      </c>
      <c r="E157" s="5">
        <f>Dados!$B$3*(B157/Dados!$B$7)</f>
        <v>26.22835480735818</v>
      </c>
      <c r="F157" s="5">
        <f>E157*Dados!$B$4*Dados!$B$5*Dados!$B$6/86400</f>
        <v>8.1963608772994315E-2</v>
      </c>
      <c r="G157" s="5"/>
    </row>
    <row r="158" spans="1:7" x14ac:dyDescent="0.25">
      <c r="A158" s="6" t="s">
        <v>181</v>
      </c>
      <c r="B158" s="6">
        <v>4703.4399999999996</v>
      </c>
      <c r="C158" s="6">
        <f t="shared" si="4"/>
        <v>0.47034399999999998</v>
      </c>
      <c r="D158" s="6">
        <f>B158/Dados!$B$7*100</f>
        <v>0.45440387117812941</v>
      </c>
      <c r="E158" s="6">
        <f>Dados!$B$3*(B158/Dados!$B$7)</f>
        <v>85.660764325080009</v>
      </c>
      <c r="F158" s="6">
        <f>E158*Dados!$B$4*Dados!$B$5*Dados!$B$6/86400</f>
        <v>0.267689888515875</v>
      </c>
      <c r="G158" s="6"/>
    </row>
    <row r="159" spans="1:7" x14ac:dyDescent="0.25">
      <c r="A159" s="5" t="s">
        <v>182</v>
      </c>
      <c r="B159" s="5">
        <v>6477.02</v>
      </c>
      <c r="C159" s="5">
        <f t="shared" si="4"/>
        <v>0.647702</v>
      </c>
      <c r="D159" s="5">
        <f>B159/Dados!$B$7*100</f>
        <v>0.62575114420470301</v>
      </c>
      <c r="E159" s="5">
        <f>Dados!$B$3*(B159/Dados!$B$7)</f>
        <v>117.96184999677467</v>
      </c>
      <c r="F159" s="5">
        <f>E159*Dados!$B$4*Dados!$B$5*Dados!$B$6/86400</f>
        <v>0.36863078123992082</v>
      </c>
      <c r="G159" s="5"/>
    </row>
    <row r="160" spans="1:7" x14ac:dyDescent="0.25">
      <c r="A160" s="6" t="s">
        <v>183</v>
      </c>
      <c r="B160" s="6">
        <v>2698.63</v>
      </c>
      <c r="C160" s="6">
        <f t="shared" si="4"/>
        <v>0.26986300000000002</v>
      </c>
      <c r="D160" s="6">
        <f>B160/Dados!$B$7*100</f>
        <v>0.26071724501161608</v>
      </c>
      <c r="E160" s="6">
        <f>Dados!$B$3*(B160/Dados!$B$7)</f>
        <v>49.148433578527779</v>
      </c>
      <c r="F160" s="6">
        <f>E160*Dados!$B$4*Dados!$B$5*Dados!$B$6/86400</f>
        <v>0.15358885493289928</v>
      </c>
      <c r="G160" s="6"/>
    </row>
    <row r="161" spans="1:7" x14ac:dyDescent="0.25">
      <c r="A161" s="5" t="s">
        <v>184</v>
      </c>
      <c r="B161" s="5">
        <v>3976.96</v>
      </c>
      <c r="C161" s="5">
        <f t="shared" si="4"/>
        <v>0.39769599999999999</v>
      </c>
      <c r="D161" s="5">
        <f>B161/Dados!$B$7*100</f>
        <v>0.38421793825807787</v>
      </c>
      <c r="E161" s="5">
        <f>Dados!$B$3*(B161/Dados!$B$7)</f>
        <v>72.42984566408208</v>
      </c>
      <c r="F161" s="5">
        <f>E161*Dados!$B$4*Dados!$B$5*Dados!$B$6/86400</f>
        <v>0.22634326770025651</v>
      </c>
      <c r="G161" s="5"/>
    </row>
    <row r="162" spans="1:7" x14ac:dyDescent="0.25">
      <c r="A162" s="6" t="s">
        <v>185</v>
      </c>
      <c r="B162" s="6">
        <v>6234.4</v>
      </c>
      <c r="C162" s="6">
        <f t="shared" si="4"/>
        <v>0.62343999999999999</v>
      </c>
      <c r="D162" s="6">
        <f>B162/Dados!$B$7*100</f>
        <v>0.60231139218804319</v>
      </c>
      <c r="E162" s="6">
        <f>Dados!$B$3*(B162/Dados!$B$7)</f>
        <v>113.54316608870928</v>
      </c>
      <c r="F162" s="6">
        <f>E162*Dados!$B$4*Dados!$B$5*Dados!$B$6/86400</f>
        <v>0.35482239402721649</v>
      </c>
      <c r="G162" s="6"/>
    </row>
    <row r="163" spans="1:7" x14ac:dyDescent="0.25">
      <c r="A163" s="5" t="s">
        <v>186</v>
      </c>
      <c r="B163" s="5">
        <v>15568</v>
      </c>
      <c r="C163" s="5">
        <f t="shared" ref="C163:C194" si="5">B163/10000</f>
        <v>1.5568</v>
      </c>
      <c r="D163" s="5">
        <f>B163/Dados!$B$7*100</f>
        <v>1.5040394831232289</v>
      </c>
      <c r="E163" s="5">
        <f>Dados!$B$3*(B163/Dados!$B$7)</f>
        <v>283.5300926583194</v>
      </c>
      <c r="F163" s="5">
        <f>E163*Dados!$B$4*Dados!$B$5*Dados!$B$6/86400</f>
        <v>0.88603153955724812</v>
      </c>
      <c r="G163" s="5"/>
    </row>
    <row r="164" spans="1:7" x14ac:dyDescent="0.25">
      <c r="A164" s="6" t="s">
        <v>187</v>
      </c>
      <c r="B164" s="6">
        <v>6048.93</v>
      </c>
      <c r="C164" s="6">
        <f t="shared" si="5"/>
        <v>0.60489300000000001</v>
      </c>
      <c r="D164" s="6">
        <f>B164/Dados!$B$7*100</f>
        <v>0.58439295674772562</v>
      </c>
      <c r="E164" s="6">
        <f>Dados!$B$3*(B164/Dados!$B$7)</f>
        <v>110.16531881960996</v>
      </c>
      <c r="F164" s="6">
        <f>E164*Dados!$B$4*Dados!$B$5*Dados!$B$6/86400</f>
        <v>0.34426662131128111</v>
      </c>
      <c r="G164" s="6"/>
    </row>
    <row r="165" spans="1:7" x14ac:dyDescent="0.25">
      <c r="A165" s="5" t="s">
        <v>188</v>
      </c>
      <c r="B165" s="5">
        <v>7145.7</v>
      </c>
      <c r="C165" s="5">
        <f t="shared" si="5"/>
        <v>0.71456999999999993</v>
      </c>
      <c r="D165" s="5">
        <f>B165/Dados!$B$7*100</f>
        <v>0.69035296342199748</v>
      </c>
      <c r="E165" s="5">
        <f>Dados!$B$3*(B165/Dados!$B$7)</f>
        <v>130.14009398179297</v>
      </c>
      <c r="F165" s="5">
        <f>E165*Dados!$B$4*Dados!$B$5*Dados!$B$6/86400</f>
        <v>0.40668779369310298</v>
      </c>
      <c r="G165" s="5"/>
    </row>
    <row r="166" spans="1:7" x14ac:dyDescent="0.25">
      <c r="A166" s="6" t="s">
        <v>189</v>
      </c>
      <c r="B166" s="6">
        <v>3824.11</v>
      </c>
      <c r="C166" s="6">
        <f t="shared" si="5"/>
        <v>0.382411</v>
      </c>
      <c r="D166" s="6">
        <f>B166/Dados!$B$7*100</f>
        <v>0.36945095245416049</v>
      </c>
      <c r="E166" s="6">
        <f>Dados!$B$3*(B166/Dados!$B$7)</f>
        <v>69.646085729419696</v>
      </c>
      <c r="F166" s="6">
        <f>E166*Dados!$B$4*Dados!$B$5*Dados!$B$6/86400</f>
        <v>0.21764401790443655</v>
      </c>
      <c r="G166" s="6"/>
    </row>
    <row r="167" spans="1:7" x14ac:dyDescent="0.25">
      <c r="A167" s="5" t="s">
        <v>190</v>
      </c>
      <c r="B167" s="5">
        <v>2331.62</v>
      </c>
      <c r="C167" s="5">
        <f t="shared" si="5"/>
        <v>0.23316199999999998</v>
      </c>
      <c r="D167" s="5">
        <f>B167/Dados!$B$7*100</f>
        <v>0.22526005521838277</v>
      </c>
      <c r="E167" s="5">
        <f>Dados!$B$3*(B167/Dados!$B$7)</f>
        <v>42.464313633349867</v>
      </c>
      <c r="F167" s="5">
        <f>E167*Dados!$B$4*Dados!$B$5*Dados!$B$6/86400</f>
        <v>0.13270098010421832</v>
      </c>
      <c r="G167" s="5"/>
    </row>
    <row r="168" spans="1:7" x14ac:dyDescent="0.25">
      <c r="A168" s="6" t="s">
        <v>191</v>
      </c>
      <c r="B168" s="6">
        <v>3478.46</v>
      </c>
      <c r="C168" s="6">
        <f t="shared" si="5"/>
        <v>0.34784599999999999</v>
      </c>
      <c r="D168" s="6">
        <f>B168/Dados!$B$7*100</f>
        <v>0.33605737284589071</v>
      </c>
      <c r="E168" s="6">
        <f>Dados!$B$3*(B168/Dados!$B$7)</f>
        <v>63.350981892873698</v>
      </c>
      <c r="F168" s="6">
        <f>E168*Dados!$B$4*Dados!$B$5*Dados!$B$6/86400</f>
        <v>0.19797181841523032</v>
      </c>
      <c r="G168" s="6"/>
    </row>
    <row r="169" spans="1:7" x14ac:dyDescent="0.25">
      <c r="A169" s="5" t="s">
        <v>192</v>
      </c>
      <c r="B169" s="5">
        <v>8015.57</v>
      </c>
      <c r="C169" s="5">
        <f t="shared" si="5"/>
        <v>0.80155699999999996</v>
      </c>
      <c r="D169" s="5">
        <f>B169/Dados!$B$7*100</f>
        <v>0.77439194242921749</v>
      </c>
      <c r="E169" s="5">
        <f>Dados!$B$3*(B169/Dados!$B$7)</f>
        <v>145.98248360799363</v>
      </c>
      <c r="F169" s="5">
        <f>E169*Dados!$B$4*Dados!$B$5*Dados!$B$6/86400</f>
        <v>0.45619526127498006</v>
      </c>
      <c r="G169" s="5"/>
    </row>
    <row r="170" spans="1:7" x14ac:dyDescent="0.25">
      <c r="A170" s="6" t="s">
        <v>193</v>
      </c>
      <c r="B170" s="6">
        <v>6689.17</v>
      </c>
      <c r="C170" s="6">
        <f t="shared" si="5"/>
        <v>0.66891699999999998</v>
      </c>
      <c r="D170" s="6">
        <f>B170/Dados!$B$7*100</f>
        <v>0.64624716015695072</v>
      </c>
      <c r="E170" s="6">
        <f>Dados!$B$3*(B170/Dados!$B$7)</f>
        <v>121.82560315437117</v>
      </c>
      <c r="F170" s="6">
        <f>E170*Dados!$B$4*Dados!$B$5*Dados!$B$6/86400</f>
        <v>0.3807050098574099</v>
      </c>
      <c r="G170" s="6"/>
    </row>
    <row r="171" spans="1:7" x14ac:dyDescent="0.25">
      <c r="A171" s="5" t="s">
        <v>194</v>
      </c>
      <c r="B171" s="5">
        <v>3424.98</v>
      </c>
      <c r="C171" s="5">
        <f t="shared" si="5"/>
        <v>0.34249800000000002</v>
      </c>
      <c r="D171" s="5">
        <f>B171/Dados!$B$7*100</f>
        <v>0.33089061850638468</v>
      </c>
      <c r="E171" s="5">
        <f>Dados!$B$3*(B171/Dados!$B$7)</f>
        <v>62.376984632122991</v>
      </c>
      <c r="F171" s="5">
        <f>E171*Dados!$B$4*Dados!$B$5*Dados!$B$6/86400</f>
        <v>0.19492807697538431</v>
      </c>
      <c r="G171" s="5"/>
    </row>
    <row r="172" spans="1:7" x14ac:dyDescent="0.25">
      <c r="A172" s="6" t="s">
        <v>195</v>
      </c>
      <c r="B172" s="6">
        <v>3235.64</v>
      </c>
      <c r="C172" s="6">
        <f t="shared" si="5"/>
        <v>0.32356399999999996</v>
      </c>
      <c r="D172" s="6">
        <f>B172/Dados!$B$7*100</f>
        <v>0.31259829863648791</v>
      </c>
      <c r="E172" s="6">
        <f>Dados!$B$3*(B172/Dados!$B$7)</f>
        <v>58.928655511881075</v>
      </c>
      <c r="F172" s="6">
        <f>E172*Dados!$B$4*Dados!$B$5*Dados!$B$6/86400</f>
        <v>0.18415204847462838</v>
      </c>
      <c r="G172" s="6"/>
    </row>
    <row r="173" spans="1:7" x14ac:dyDescent="0.25">
      <c r="A173" s="5" t="s">
        <v>196</v>
      </c>
      <c r="B173" s="5">
        <v>9811.65</v>
      </c>
      <c r="C173" s="5">
        <f t="shared" si="5"/>
        <v>0.98116499999999995</v>
      </c>
      <c r="D173" s="5">
        <f>B173/Dados!$B$7*100</f>
        <v>0.94791296213939025</v>
      </c>
      <c r="E173" s="5">
        <f>Dados!$B$3*(B173/Dados!$B$7)</f>
        <v>178.69334748400561</v>
      </c>
      <c r="F173" s="5">
        <f>E173*Dados!$B$4*Dados!$B$5*Dados!$B$6/86400</f>
        <v>0.55841671088751754</v>
      </c>
      <c r="G173" s="5" t="s">
        <v>197</v>
      </c>
    </row>
    <row r="174" spans="1:7" x14ac:dyDescent="0.25">
      <c r="A174" s="6" t="s">
        <v>198</v>
      </c>
      <c r="B174" s="6">
        <v>5046.74</v>
      </c>
      <c r="C174" s="6">
        <f t="shared" si="5"/>
        <v>0.50467399999999996</v>
      </c>
      <c r="D174" s="6">
        <f>B174/Dados!$B$7*100</f>
        <v>0.48757041502166776</v>
      </c>
      <c r="E174" s="6">
        <f>Dados!$B$3*(B174/Dados!$B$7)</f>
        <v>91.913069104730653</v>
      </c>
      <c r="F174" s="6">
        <f>E174*Dados!$B$4*Dados!$B$5*Dados!$B$6/86400</f>
        <v>0.28722834095228328</v>
      </c>
      <c r="G174" s="6"/>
    </row>
    <row r="175" spans="1:7" x14ac:dyDescent="0.25">
      <c r="A175" s="5" t="s">
        <v>199</v>
      </c>
      <c r="B175" s="5">
        <v>2885.21</v>
      </c>
      <c r="C175" s="5">
        <f t="shared" si="5"/>
        <v>0.28852100000000003</v>
      </c>
      <c r="D175" s="5">
        <f>B175/Dados!$B$7*100</f>
        <v>0.27874291862165795</v>
      </c>
      <c r="E175" s="5">
        <f>Dados!$B$3*(B175/Dados!$B$7)</f>
        <v>52.546496572373435</v>
      </c>
      <c r="F175" s="5">
        <f>E175*Dados!$B$4*Dados!$B$5*Dados!$B$6/86400</f>
        <v>0.16420780178866701</v>
      </c>
      <c r="G175" s="5"/>
    </row>
    <row r="176" spans="1:7" x14ac:dyDescent="0.25">
      <c r="A176" s="6" t="s">
        <v>200</v>
      </c>
      <c r="B176" s="6">
        <v>7992.37</v>
      </c>
      <c r="C176" s="6">
        <f t="shared" si="5"/>
        <v>0.79923699999999998</v>
      </c>
      <c r="D176" s="6">
        <f>B176/Dados!$B$7*100</f>
        <v>0.77215056807101745</v>
      </c>
      <c r="E176" s="6">
        <f>Dados!$B$3*(B176/Dados!$B$7)</f>
        <v>145.55995674843089</v>
      </c>
      <c r="F176" s="6">
        <f>E176*Dados!$B$4*Dados!$B$5*Dados!$B$6/86400</f>
        <v>0.45487486483884654</v>
      </c>
      <c r="G176" s="6"/>
    </row>
    <row r="177" spans="1:7" x14ac:dyDescent="0.25">
      <c r="A177" s="5" t="s">
        <v>201</v>
      </c>
      <c r="B177" s="5">
        <v>11697.16</v>
      </c>
      <c r="C177" s="5">
        <f t="shared" si="5"/>
        <v>1.169716</v>
      </c>
      <c r="D177" s="5">
        <f>B177/Dados!$B$7*100</f>
        <v>1.1300739003346421</v>
      </c>
      <c r="E177" s="5">
        <f>Dados!$B$3*(B177/Dados!$B$7)</f>
        <v>213.03294312944419</v>
      </c>
      <c r="F177" s="5">
        <f>E177*Dados!$B$4*Dados!$B$5*Dados!$B$6/86400</f>
        <v>0.66572794727951301</v>
      </c>
      <c r="G177" s="5"/>
    </row>
    <row r="178" spans="1:7" x14ac:dyDescent="0.25">
      <c r="A178" s="6" t="s">
        <v>202</v>
      </c>
      <c r="B178" s="6">
        <v>6344.61</v>
      </c>
      <c r="C178" s="6">
        <f t="shared" si="5"/>
        <v>0.63446099999999994</v>
      </c>
      <c r="D178" s="6">
        <f>B178/Dados!$B$7*100</f>
        <v>0.61295888649913077</v>
      </c>
      <c r="E178" s="6">
        <f>Dados!$B$3*(B178/Dados!$B$7)</f>
        <v>115.55035079527875</v>
      </c>
      <c r="F178" s="6">
        <f>E178*Dados!$B$4*Dados!$B$5*Dados!$B$6/86400</f>
        <v>0.36109484623524607</v>
      </c>
      <c r="G178" s="6"/>
    </row>
    <row r="179" spans="1:7" x14ac:dyDescent="0.25">
      <c r="A179" s="5" t="s">
        <v>203</v>
      </c>
      <c r="B179" s="5">
        <v>2646.74</v>
      </c>
      <c r="C179" s="5">
        <f t="shared" si="5"/>
        <v>0.26467399999999996</v>
      </c>
      <c r="D179" s="5">
        <f>B179/Dados!$B$7*100</f>
        <v>0.25570410210441769</v>
      </c>
      <c r="E179" s="5">
        <f>Dados!$B$3*(B179/Dados!$B$7)</f>
        <v>48.203393977548828</v>
      </c>
      <c r="F179" s="5">
        <f>E179*Dados!$B$4*Dados!$B$5*Dados!$B$6/86400</f>
        <v>0.15063560617984009</v>
      </c>
      <c r="G179" s="5"/>
    </row>
    <row r="180" spans="1:7" x14ac:dyDescent="0.25">
      <c r="A180" s="6" t="s">
        <v>204</v>
      </c>
      <c r="B180" s="6">
        <v>5500.14</v>
      </c>
      <c r="C180" s="6">
        <f t="shared" si="5"/>
        <v>0.550014</v>
      </c>
      <c r="D180" s="6">
        <f>B180/Dados!$B$7*100</f>
        <v>0.53137382597028493</v>
      </c>
      <c r="E180" s="6">
        <f>Dados!$B$3*(B180/Dados!$B$7)</f>
        <v>100.17055523084076</v>
      </c>
      <c r="F180" s="6">
        <f>E180*Dados!$B$4*Dados!$B$5*Dados!$B$6/86400</f>
        <v>0.31303298509637739</v>
      </c>
      <c r="G180" s="6"/>
    </row>
    <row r="181" spans="1:7" x14ac:dyDescent="0.25">
      <c r="A181" s="5" t="s">
        <v>205</v>
      </c>
      <c r="B181" s="5">
        <v>8700.2999999999993</v>
      </c>
      <c r="C181" s="5">
        <f t="shared" si="5"/>
        <v>0.87002999999999997</v>
      </c>
      <c r="D181" s="5">
        <f>B181/Dados!$B$7*100</f>
        <v>0.84054436761414608</v>
      </c>
      <c r="E181" s="5">
        <f>Dados!$B$3*(B181/Dados!$B$7)</f>
        <v>158.45303604542497</v>
      </c>
      <c r="F181" s="5">
        <f>E181*Dados!$B$4*Dados!$B$5*Dados!$B$6/86400</f>
        <v>0.49516573764195299</v>
      </c>
      <c r="G181" s="5"/>
    </row>
    <row r="182" spans="1:7" x14ac:dyDescent="0.25">
      <c r="A182" s="6" t="s">
        <v>206</v>
      </c>
      <c r="B182" s="6">
        <v>2042.12</v>
      </c>
      <c r="C182" s="6">
        <f t="shared" si="5"/>
        <v>0.20421199999999998</v>
      </c>
      <c r="D182" s="6">
        <f>B182/Dados!$B$7*100</f>
        <v>0.19729118122273948</v>
      </c>
      <c r="E182" s="6">
        <f>Dados!$B$3*(B182/Dados!$B$7)</f>
        <v>37.191834071133556</v>
      </c>
      <c r="F182" s="6">
        <f>E182*Dados!$B$4*Dados!$B$5*Dados!$B$6/86400</f>
        <v>0.11622448147229235</v>
      </c>
      <c r="G182" s="6"/>
    </row>
    <row r="183" spans="1:7" x14ac:dyDescent="0.25">
      <c r="A183" s="5" t="s">
        <v>207</v>
      </c>
      <c r="B183" s="5">
        <v>5911.12</v>
      </c>
      <c r="C183" s="5">
        <f t="shared" si="5"/>
        <v>0.59111199999999997</v>
      </c>
      <c r="D183" s="5">
        <f>B183/Dados!$B$7*100</f>
        <v>0.57107899983808974</v>
      </c>
      <c r="E183" s="5">
        <f>Dados!$B$3*(B183/Dados!$B$7)</f>
        <v>107.65547284907791</v>
      </c>
      <c r="F183" s="5">
        <f>E183*Dados!$B$4*Dados!$B$5*Dados!$B$6/86400</f>
        <v>0.33642335265336848</v>
      </c>
      <c r="G183" s="5"/>
    </row>
    <row r="184" spans="1:7" x14ac:dyDescent="0.25">
      <c r="A184" s="6" t="s">
        <v>208</v>
      </c>
      <c r="B184" s="6">
        <v>2506.2600000000002</v>
      </c>
      <c r="C184" s="6">
        <f t="shared" si="5"/>
        <v>0.25062600000000002</v>
      </c>
      <c r="D184" s="6">
        <f>B184/Dados!$B$7*100</f>
        <v>0.24213219392166135</v>
      </c>
      <c r="E184" s="6">
        <f>Dados!$B$3*(B184/Dados!$B$7)</f>
        <v>45.644920993437793</v>
      </c>
      <c r="F184" s="6">
        <f>E184*Dados!$B$4*Dados!$B$5*Dados!$B$6/86400</f>
        <v>0.14264037810449309</v>
      </c>
      <c r="G184" s="6"/>
    </row>
    <row r="185" spans="1:7" x14ac:dyDescent="0.25">
      <c r="A185" s="5" t="s">
        <v>209</v>
      </c>
      <c r="B185" s="5">
        <v>1227.3499999999999</v>
      </c>
      <c r="C185" s="5">
        <f t="shared" si="5"/>
        <v>0.122735</v>
      </c>
      <c r="D185" s="5">
        <f>B185/Dados!$B$7*100</f>
        <v>0.11857546631624453</v>
      </c>
      <c r="E185" s="5">
        <f>Dados!$B$3*(B185/Dados!$B$7)</f>
        <v>22.352945736394418</v>
      </c>
      <c r="F185" s="5">
        <f>E185*Dados!$B$4*Dados!$B$5*Dados!$B$6/86400</f>
        <v>6.9852955426232557E-2</v>
      </c>
      <c r="G185" s="5"/>
    </row>
    <row r="186" spans="1:7" x14ac:dyDescent="0.25">
      <c r="A186" s="9" t="s">
        <v>210</v>
      </c>
      <c r="B186" s="9">
        <v>1035079.21</v>
      </c>
      <c r="C186" s="9">
        <f t="shared" si="5"/>
        <v>103.507921</v>
      </c>
      <c r="D186" s="9" t="s">
        <v>211</v>
      </c>
      <c r="E186" s="9">
        <f>SUM(E6:E185)</f>
        <v>18851.24109274189</v>
      </c>
      <c r="F186" s="9">
        <f>SUM(F6:F185)</f>
        <v>58.910128414818374</v>
      </c>
      <c r="G186" s="9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89"/>
  <sheetViews>
    <sheetView workbookViewId="0">
      <selection activeCell="B14" sqref="B14"/>
    </sheetView>
  </sheetViews>
  <sheetFormatPr defaultRowHeight="15" x14ac:dyDescent="0.25"/>
  <cols>
    <col min="1" max="1" width="8" customWidth="1"/>
    <col min="2" max="2" width="32" customWidth="1"/>
    <col min="3" max="3" width="18" customWidth="1"/>
    <col min="4" max="4" width="16" customWidth="1"/>
    <col min="5" max="5" width="20" customWidth="1"/>
    <col min="6" max="6" width="24" customWidth="1"/>
  </cols>
  <sheetData>
    <row r="1" spans="1:6" ht="15.75" x14ac:dyDescent="0.25">
      <c r="A1" s="13" t="s">
        <v>212</v>
      </c>
      <c r="B1" s="14"/>
      <c r="C1" s="14"/>
      <c r="D1" s="14"/>
      <c r="E1" s="14"/>
      <c r="F1" s="14"/>
    </row>
    <row r="3" spans="1:6" x14ac:dyDescent="0.25">
      <c r="A3" s="8" t="s">
        <v>18</v>
      </c>
    </row>
    <row r="5" spans="1:6" x14ac:dyDescent="0.25">
      <c r="A5" s="4" t="s">
        <v>19</v>
      </c>
      <c r="B5" s="4" t="s">
        <v>213</v>
      </c>
      <c r="C5" s="4" t="s">
        <v>214</v>
      </c>
      <c r="D5" s="4" t="s">
        <v>215</v>
      </c>
      <c r="E5" s="4" t="s">
        <v>23</v>
      </c>
      <c r="F5" s="4" t="s">
        <v>24</v>
      </c>
    </row>
    <row r="6" spans="1:6" x14ac:dyDescent="0.25">
      <c r="A6" s="5" t="s">
        <v>26</v>
      </c>
      <c r="B6" s="5" t="s">
        <v>216</v>
      </c>
      <c r="C6" s="5">
        <v>152.91</v>
      </c>
      <c r="D6" s="5">
        <f>C6/Dados!$B$8*100</f>
        <v>0.74964003453315287</v>
      </c>
      <c r="E6" s="5">
        <f>Dados!$B$3*(C6/Dados!$B$8)</f>
        <v>141.31644204592754</v>
      </c>
      <c r="F6" s="5">
        <f>E6*Dados!$B$4*Dados!$B$5*Dados!$B$6/86400</f>
        <v>0.44161388139352353</v>
      </c>
    </row>
    <row r="7" spans="1:6" x14ac:dyDescent="0.25">
      <c r="A7" s="6" t="s">
        <v>27</v>
      </c>
      <c r="B7" s="6" t="s">
        <v>217</v>
      </c>
      <c r="C7" s="6">
        <v>148.46</v>
      </c>
      <c r="D7" s="6">
        <f>C7/Dados!$B$8*100</f>
        <v>0.72782394563332597</v>
      </c>
      <c r="E7" s="6">
        <f>Dados!$B$3*(C7/Dados!$B$8)</f>
        <v>137.20383876880783</v>
      </c>
      <c r="F7" s="6">
        <f>E7*Dados!$B$4*Dados!$B$5*Dados!$B$6/86400</f>
        <v>0.42876199615252447</v>
      </c>
    </row>
    <row r="8" spans="1:6" x14ac:dyDescent="0.25">
      <c r="A8" s="5" t="s">
        <v>28</v>
      </c>
      <c r="B8" s="5" t="s">
        <v>218</v>
      </c>
      <c r="C8" s="5">
        <v>226.43</v>
      </c>
      <c r="D8" s="5">
        <f>C8/Dados!$B$8*100</f>
        <v>1.1100712381096187</v>
      </c>
      <c r="E8" s="5">
        <f>Dados!$B$3*(C8/Dados!$B$8)</f>
        <v>209.26219326701573</v>
      </c>
      <c r="F8" s="5">
        <f>E8*Dados!$B$4*Dados!$B$5*Dados!$B$6/86400</f>
        <v>0.65394435395942407</v>
      </c>
    </row>
    <row r="9" spans="1:6" x14ac:dyDescent="0.25">
      <c r="A9" s="6" t="s">
        <v>29</v>
      </c>
      <c r="B9" s="6" t="s">
        <v>219</v>
      </c>
      <c r="C9" s="6">
        <v>168.38</v>
      </c>
      <c r="D9" s="6">
        <f>C9/Dados!$B$8*100</f>
        <v>0.82548158403434879</v>
      </c>
      <c r="E9" s="6">
        <f>Dados!$B$3*(C9/Dados!$B$8)</f>
        <v>155.61351456211679</v>
      </c>
      <c r="F9" s="6">
        <f>E9*Dados!$B$4*Dados!$B$5*Dados!$B$6/86400</f>
        <v>0.48629223300661495</v>
      </c>
    </row>
    <row r="10" spans="1:6" x14ac:dyDescent="0.25">
      <c r="A10" s="5" t="s">
        <v>30</v>
      </c>
      <c r="B10" s="5" t="s">
        <v>220</v>
      </c>
      <c r="C10" s="5">
        <v>190.49</v>
      </c>
      <c r="D10" s="5">
        <f>C10/Dados!$B$8*100</f>
        <v>0.93387567966921914</v>
      </c>
      <c r="E10" s="5">
        <f>Dados!$B$3*(C10/Dados!$B$8)</f>
        <v>176.04714567607573</v>
      </c>
      <c r="F10" s="5">
        <f>E10*Dados!$B$4*Dados!$B$5*Dados!$B$6/86400</f>
        <v>0.55014733023773654</v>
      </c>
    </row>
    <row r="11" spans="1:6" x14ac:dyDescent="0.25">
      <c r="A11" s="6" t="s">
        <v>31</v>
      </c>
      <c r="B11" s="6" t="s">
        <v>221</v>
      </c>
      <c r="C11" s="6">
        <v>70.62</v>
      </c>
      <c r="D11" s="6">
        <f>C11/Dados!$B$8*100</f>
        <v>0.34621397710242141</v>
      </c>
      <c r="E11" s="6">
        <f>Dados!$B$3*(C11/Dados!$B$8)</f>
        <v>65.265627737122514</v>
      </c>
      <c r="F11" s="6">
        <f>E11*Dados!$B$4*Dados!$B$5*Dados!$B$6/86400</f>
        <v>0.20395508667850781</v>
      </c>
    </row>
    <row r="12" spans="1:6" x14ac:dyDescent="0.25">
      <c r="A12" s="5" t="s">
        <v>32</v>
      </c>
      <c r="B12" s="5" t="s">
        <v>222</v>
      </c>
      <c r="C12" s="5">
        <v>92.09</v>
      </c>
      <c r="D12" s="5">
        <f>C12/Dados!$B$8*100</f>
        <v>0.45147047792922668</v>
      </c>
      <c r="E12" s="5">
        <f>Dados!$B$3*(C12/Dados!$B$8)</f>
        <v>85.107783323585551</v>
      </c>
      <c r="F12" s="5">
        <f>E12*Dados!$B$4*Dados!$B$5*Dados!$B$6/86400</f>
        <v>0.26596182288620479</v>
      </c>
    </row>
    <row r="13" spans="1:6" x14ac:dyDescent="0.25">
      <c r="A13" s="6" t="s">
        <v>33</v>
      </c>
      <c r="B13" s="6" t="s">
        <v>223</v>
      </c>
      <c r="C13" s="6">
        <v>158.97999999999999</v>
      </c>
      <c r="D13" s="6">
        <f>C13/Dados!$B$8*100</f>
        <v>0.77939816029089415</v>
      </c>
      <c r="E13" s="6">
        <f>Dados!$B$3*(C13/Dados!$B$8)</f>
        <v>146.92621775202116</v>
      </c>
      <c r="F13" s="6">
        <f>E13*Dados!$B$4*Dados!$B$5*Dados!$B$6/86400</f>
        <v>0.45914443047506609</v>
      </c>
    </row>
    <row r="14" spans="1:6" x14ac:dyDescent="0.25">
      <c r="A14" s="5" t="s">
        <v>34</v>
      </c>
      <c r="B14" s="5" t="s">
        <v>224</v>
      </c>
      <c r="C14" s="5">
        <v>141</v>
      </c>
      <c r="D14" s="5">
        <f>C14/Dados!$B$8*100</f>
        <v>0.69125135615181843</v>
      </c>
      <c r="E14" s="5">
        <f>Dados!$B$3*(C14/Dados!$B$8)</f>
        <v>130.30945215143407</v>
      </c>
      <c r="F14" s="5">
        <f>E14*Dados!$B$4*Dados!$B$5*Dados!$B$6/86400</f>
        <v>0.40721703797323144</v>
      </c>
    </row>
    <row r="15" spans="1:6" x14ac:dyDescent="0.25">
      <c r="A15" s="6" t="s">
        <v>35</v>
      </c>
      <c r="B15" s="6" t="s">
        <v>225</v>
      </c>
      <c r="C15" s="6">
        <v>170.21</v>
      </c>
      <c r="D15" s="6">
        <f>C15/Dados!$B$8*100</f>
        <v>0.83445314418865968</v>
      </c>
      <c r="E15" s="6">
        <f>Dados!$B$3*(C15/Dados!$B$8)</f>
        <v>157.3047648985503</v>
      </c>
      <c r="F15" s="6">
        <f>E15*Dados!$B$4*Dados!$B$5*Dados!$B$6/86400</f>
        <v>0.49157739030796965</v>
      </c>
    </row>
    <row r="16" spans="1:6" x14ac:dyDescent="0.25">
      <c r="A16" s="5" t="s">
        <v>36</v>
      </c>
      <c r="B16" s="5" t="s">
        <v>226</v>
      </c>
      <c r="C16" s="5">
        <v>256.67</v>
      </c>
      <c r="D16" s="5">
        <f>C16/Dados!$B$8*100</f>
        <v>1.2583225927906896</v>
      </c>
      <c r="E16" s="5">
        <f>Dados!$B$3*(C16/Dados!$B$8)</f>
        <v>237.20941194119561</v>
      </c>
      <c r="F16" s="5">
        <f>E16*Dados!$B$4*Dados!$B$5*Dados!$B$6/86400</f>
        <v>0.74127941231623629</v>
      </c>
    </row>
    <row r="17" spans="1:6" x14ac:dyDescent="0.25">
      <c r="A17" s="6" t="s">
        <v>37</v>
      </c>
      <c r="B17" s="6" t="s">
        <v>227</v>
      </c>
      <c r="C17" s="6">
        <v>223.14</v>
      </c>
      <c r="D17" s="6">
        <f>C17/Dados!$B$8*100</f>
        <v>1.0939420397994095</v>
      </c>
      <c r="E17" s="6">
        <f>Dados!$B$3*(C17/Dados!$B$8)</f>
        <v>206.22163938348223</v>
      </c>
      <c r="F17" s="6">
        <f>E17*Dados!$B$4*Dados!$B$5*Dados!$B$6/86400</f>
        <v>0.64444262307338196</v>
      </c>
    </row>
    <row r="18" spans="1:6" x14ac:dyDescent="0.25">
      <c r="A18" s="5" t="s">
        <v>38</v>
      </c>
      <c r="B18" s="5" t="s">
        <v>228</v>
      </c>
      <c r="C18" s="5">
        <v>195.69</v>
      </c>
      <c r="D18" s="5">
        <f>C18/Dados!$B$8*100</f>
        <v>0.9593686374847471</v>
      </c>
      <c r="E18" s="5">
        <f>Dados!$B$3*(C18/Dados!$B$8)</f>
        <v>180.85288433697966</v>
      </c>
      <c r="F18" s="5">
        <f>E18*Dados!$B$4*Dados!$B$5*Dados!$B$6/86400</f>
        <v>0.56516526355306129</v>
      </c>
    </row>
    <row r="19" spans="1:6" x14ac:dyDescent="0.25">
      <c r="A19" s="6" t="s">
        <v>39</v>
      </c>
      <c r="B19" s="6" t="s">
        <v>229</v>
      </c>
      <c r="C19" s="6">
        <v>154.44</v>
      </c>
      <c r="D19" s="6">
        <f>C19/Dados!$B$8*100</f>
        <v>0.75714084712118312</v>
      </c>
      <c r="E19" s="6">
        <f>Dados!$B$3*(C19/Dados!$B$8)</f>
        <v>142.73043822884733</v>
      </c>
      <c r="F19" s="6">
        <f>E19*Dados!$B$4*Dados!$B$5*Dados!$B$6/86400</f>
        <v>0.44603261946514794</v>
      </c>
    </row>
    <row r="20" spans="1:6" x14ac:dyDescent="0.25">
      <c r="A20" s="5" t="s">
        <v>40</v>
      </c>
      <c r="B20" s="5" t="s">
        <v>230</v>
      </c>
      <c r="C20" s="5">
        <v>145</v>
      </c>
      <c r="D20" s="5">
        <f>C20/Dados!$B$8*100</f>
        <v>0.71086132370222455</v>
      </c>
      <c r="E20" s="5">
        <f>Dados!$B$3*(C20/Dados!$B$8)</f>
        <v>134.00617419828325</v>
      </c>
      <c r="F20" s="5">
        <f>E20*Dados!$B$4*Dados!$B$5*Dados!$B$6/86400</f>
        <v>0.41876929436963506</v>
      </c>
    </row>
    <row r="21" spans="1:6" x14ac:dyDescent="0.25">
      <c r="A21" s="6" t="s">
        <v>41</v>
      </c>
      <c r="B21" s="6" t="s">
        <v>231</v>
      </c>
      <c r="C21" s="6">
        <v>103.31</v>
      </c>
      <c r="D21" s="6">
        <f>C21/Dados!$B$8*100</f>
        <v>0.50647643690811595</v>
      </c>
      <c r="E21" s="6">
        <f>Dados!$B$3*(C21/Dados!$B$8)</f>
        <v>95.477088664997538</v>
      </c>
      <c r="F21" s="6">
        <f>E21*Dados!$B$4*Dados!$B$5*Dados!$B$6/86400</f>
        <v>0.29836590207811731</v>
      </c>
    </row>
    <row r="22" spans="1:6" x14ac:dyDescent="0.25">
      <c r="A22" s="5" t="s">
        <v>42</v>
      </c>
      <c r="B22" s="5" t="s">
        <v>232</v>
      </c>
      <c r="C22" s="5">
        <v>115.61</v>
      </c>
      <c r="D22" s="5">
        <f>C22/Dados!$B$8*100</f>
        <v>0.56677708712561503</v>
      </c>
      <c r="E22" s="5">
        <f>Dados!$B$3*(C22/Dados!$B$8)</f>
        <v>106.8445089590588</v>
      </c>
      <c r="F22" s="5">
        <f>E22*Dados!$B$4*Dados!$B$5*Dados!$B$6/86400</f>
        <v>0.33388909049705878</v>
      </c>
    </row>
    <row r="23" spans="1:6" x14ac:dyDescent="0.25">
      <c r="A23" s="6" t="s">
        <v>43</v>
      </c>
      <c r="B23" s="6" t="s">
        <v>233</v>
      </c>
      <c r="C23" s="6">
        <v>210.5</v>
      </c>
      <c r="D23" s="6">
        <f>C23/Dados!$B$8*100</f>
        <v>1.0319745423401261</v>
      </c>
      <c r="E23" s="6">
        <f>Dados!$B$3*(C23/Dados!$B$8)</f>
        <v>194.5399977154388</v>
      </c>
      <c r="F23" s="6">
        <f>E23*Dados!$B$4*Dados!$B$5*Dados!$B$6/86400</f>
        <v>0.60793749286074616</v>
      </c>
    </row>
    <row r="24" spans="1:6" x14ac:dyDescent="0.25">
      <c r="A24" s="5" t="s">
        <v>44</v>
      </c>
      <c r="B24" s="5" t="s">
        <v>234</v>
      </c>
      <c r="C24" s="5">
        <v>148.12</v>
      </c>
      <c r="D24" s="5">
        <f>C24/Dados!$B$8*100</f>
        <v>0.72615709839154141</v>
      </c>
      <c r="E24" s="5">
        <f>Dados!$B$3*(C24/Dados!$B$8)</f>
        <v>136.88961739482562</v>
      </c>
      <c r="F24" s="5">
        <f>E24*Dados!$B$4*Dados!$B$5*Dados!$B$6/86400</f>
        <v>0.42778005435883004</v>
      </c>
    </row>
    <row r="25" spans="1:6" x14ac:dyDescent="0.25">
      <c r="A25" s="6" t="s">
        <v>45</v>
      </c>
      <c r="B25" s="6" t="s">
        <v>235</v>
      </c>
      <c r="C25" s="6">
        <v>147.07</v>
      </c>
      <c r="D25" s="6">
        <f>C25/Dados!$B$8*100</f>
        <v>0.72100948190955971</v>
      </c>
      <c r="E25" s="6">
        <f>Dados!$B$3*(C25/Dados!$B$8)</f>
        <v>135.91922785752769</v>
      </c>
      <c r="F25" s="6">
        <f>E25*Dados!$B$4*Dados!$B$5*Dados!$B$6/86400</f>
        <v>0.42474758705477406</v>
      </c>
    </row>
    <row r="26" spans="1:6" x14ac:dyDescent="0.25">
      <c r="A26" s="5" t="s">
        <v>46</v>
      </c>
      <c r="B26" s="5" t="s">
        <v>236</v>
      </c>
      <c r="C26" s="5">
        <v>96.3</v>
      </c>
      <c r="D26" s="5">
        <f>C26/Dados!$B$8*100</f>
        <v>0.47210996877602918</v>
      </c>
      <c r="E26" s="5">
        <f>Dados!$B$3*(C26/Dados!$B$8)</f>
        <v>88.998583277894326</v>
      </c>
      <c r="F26" s="5">
        <f>E26*Dados!$B$4*Dados!$B$5*Dados!$B$6/86400</f>
        <v>0.27812057274341978</v>
      </c>
    </row>
    <row r="27" spans="1:6" x14ac:dyDescent="0.25">
      <c r="A27" s="6" t="s">
        <v>47</v>
      </c>
      <c r="B27" s="6" t="s">
        <v>237</v>
      </c>
      <c r="C27" s="6">
        <v>183.51</v>
      </c>
      <c r="D27" s="6">
        <f>C27/Dados!$B$8*100</f>
        <v>0.89965628629376015</v>
      </c>
      <c r="E27" s="6">
        <f>Dados!$B$3*(C27/Dados!$B$8)</f>
        <v>169.59636570432383</v>
      </c>
      <c r="F27" s="6">
        <f>E27*Dados!$B$4*Dados!$B$5*Dados!$B$6/86400</f>
        <v>0.52998864282601199</v>
      </c>
    </row>
    <row r="28" spans="1:6" x14ac:dyDescent="0.25">
      <c r="A28" s="5" t="s">
        <v>48</v>
      </c>
      <c r="B28" s="5" t="s">
        <v>238</v>
      </c>
      <c r="C28" s="5">
        <v>183.78</v>
      </c>
      <c r="D28" s="5">
        <f>C28/Dados!$B$8*100</f>
        <v>0.90097995910341266</v>
      </c>
      <c r="E28" s="5">
        <f>Dados!$B$3*(C28/Dados!$B$8)</f>
        <v>169.84589444248618</v>
      </c>
      <c r="F28" s="5">
        <f>E28*Dados!$B$4*Dados!$B$5*Dados!$B$6/86400</f>
        <v>0.53076842013276926</v>
      </c>
    </row>
    <row r="29" spans="1:6" x14ac:dyDescent="0.25">
      <c r="A29" s="6" t="s">
        <v>49</v>
      </c>
      <c r="B29" s="6" t="s">
        <v>239</v>
      </c>
      <c r="C29" s="6">
        <v>80.36</v>
      </c>
      <c r="D29" s="6">
        <f>C29/Dados!$B$8*100</f>
        <v>0.39396424808766045</v>
      </c>
      <c r="E29" s="6">
        <f>Dados!$B$3*(C29/Dados!$B$8)</f>
        <v>74.267145921200282</v>
      </c>
      <c r="F29" s="6">
        <f>E29*Dados!$B$4*Dados!$B$5*Dados!$B$6/86400</f>
        <v>0.23208483100375088</v>
      </c>
    </row>
    <row r="30" spans="1:6" x14ac:dyDescent="0.25">
      <c r="A30" s="5" t="s">
        <v>50</v>
      </c>
      <c r="B30" s="5" t="s">
        <v>240</v>
      </c>
      <c r="C30" s="5">
        <v>170.47</v>
      </c>
      <c r="D30" s="5">
        <f>C30/Dados!$B$8*100</f>
        <v>0.83572779207943604</v>
      </c>
      <c r="E30" s="5">
        <f>Dados!$B$3*(C30/Dados!$B$8)</f>
        <v>157.54505183159549</v>
      </c>
      <c r="F30" s="5">
        <f>E30*Dados!$B$4*Dados!$B$5*Dados!$B$6/86400</f>
        <v>0.49232828697373593</v>
      </c>
    </row>
    <row r="31" spans="1:6" x14ac:dyDescent="0.25">
      <c r="A31" s="6" t="s">
        <v>51</v>
      </c>
      <c r="B31" s="6" t="s">
        <v>241</v>
      </c>
      <c r="C31" s="6">
        <v>137.58000000000001</v>
      </c>
      <c r="D31" s="6">
        <f>C31/Dados!$B$8*100</f>
        <v>0.67448483389622116</v>
      </c>
      <c r="E31" s="6">
        <f>Dados!$B$3*(C31/Dados!$B$8)</f>
        <v>127.148754801378</v>
      </c>
      <c r="F31" s="6">
        <f>E31*Dados!$B$4*Dados!$B$5*Dados!$B$6/86400</f>
        <v>0.39733985875430622</v>
      </c>
    </row>
    <row r="32" spans="1:6" x14ac:dyDescent="0.25">
      <c r="A32" s="5" t="s">
        <v>52</v>
      </c>
      <c r="B32" s="5" t="s">
        <v>242</v>
      </c>
      <c r="C32" s="5">
        <v>128.59</v>
      </c>
      <c r="D32" s="5">
        <f>C32/Dados!$B$8*100</f>
        <v>0.63041143182668313</v>
      </c>
      <c r="E32" s="5">
        <f>Dados!$B$3*(C32/Dados!$B$8)</f>
        <v>118.84037200108443</v>
      </c>
      <c r="F32" s="5">
        <f>E32*Dados!$B$4*Dados!$B$5*Dados!$B$6/86400</f>
        <v>0.37137616250338884</v>
      </c>
    </row>
    <row r="33" spans="1:6" x14ac:dyDescent="0.25">
      <c r="A33" s="6" t="s">
        <v>53</v>
      </c>
      <c r="B33" s="6" t="s">
        <v>243</v>
      </c>
      <c r="C33" s="6">
        <v>87.17</v>
      </c>
      <c r="D33" s="6">
        <f>C33/Dados!$B$8*100</f>
        <v>0.42735021784222704</v>
      </c>
      <c r="E33" s="6">
        <f>Dados!$B$3*(C33/Dados!$B$8)</f>
        <v>80.560815205961049</v>
      </c>
      <c r="F33" s="6">
        <f>E33*Dados!$B$4*Dados!$B$5*Dados!$B$6/86400</f>
        <v>0.25175254751862824</v>
      </c>
    </row>
    <row r="34" spans="1:6" x14ac:dyDescent="0.25">
      <c r="A34" s="5" t="s">
        <v>54</v>
      </c>
      <c r="B34" s="5" t="s">
        <v>244</v>
      </c>
      <c r="C34" s="5">
        <v>80.290000000000006</v>
      </c>
      <c r="D34" s="5">
        <f>C34/Dados!$B$8*100</f>
        <v>0.39362107365552834</v>
      </c>
      <c r="E34" s="5">
        <f>Dados!$B$3*(C34/Dados!$B$8)</f>
        <v>74.202453285380429</v>
      </c>
      <c r="F34" s="5">
        <f>E34*Dados!$B$4*Dados!$B$5*Dados!$B$6/86400</f>
        <v>0.23188266651681383</v>
      </c>
    </row>
    <row r="35" spans="1:6" x14ac:dyDescent="0.25">
      <c r="A35" s="6" t="s">
        <v>55</v>
      </c>
      <c r="B35" s="6" t="s">
        <v>245</v>
      </c>
      <c r="C35" s="6">
        <v>138.09</v>
      </c>
      <c r="D35" s="6">
        <f>C35/Dados!$B$8*100</f>
        <v>0.67698510475889795</v>
      </c>
      <c r="E35" s="6">
        <f>Dados!$B$3*(C35/Dados!$B$8)</f>
        <v>127.62008686235127</v>
      </c>
      <c r="F35" s="6">
        <f>E35*Dados!$B$4*Dados!$B$5*Dados!$B$6/86400</f>
        <v>0.39881277144484767</v>
      </c>
    </row>
    <row r="36" spans="1:6" x14ac:dyDescent="0.25">
      <c r="A36" s="5" t="s">
        <v>56</v>
      </c>
      <c r="B36" s="5" t="s">
        <v>246</v>
      </c>
      <c r="C36" s="5">
        <v>154.21</v>
      </c>
      <c r="D36" s="5">
        <f>C36/Dados!$B$8*100</f>
        <v>0.75601327398703488</v>
      </c>
      <c r="E36" s="5">
        <f>Dados!$B$3*(C36/Dados!$B$8)</f>
        <v>142.51787671115352</v>
      </c>
      <c r="F36" s="5">
        <f>E36*Dados!$B$4*Dados!$B$5*Dados!$B$6/86400</f>
        <v>0.44536836472235469</v>
      </c>
    </row>
    <row r="37" spans="1:6" x14ac:dyDescent="0.25">
      <c r="A37" s="6" t="s">
        <v>57</v>
      </c>
      <c r="B37" s="6" t="s">
        <v>247</v>
      </c>
      <c r="C37" s="6">
        <v>129.68</v>
      </c>
      <c r="D37" s="6">
        <f>C37/Dados!$B$8*100</f>
        <v>0.63575514798416888</v>
      </c>
      <c r="E37" s="6">
        <f>Dados!$B$3*(C37/Dados!$B$8)</f>
        <v>119.84772875885083</v>
      </c>
      <c r="F37" s="6">
        <f>E37*Dados!$B$4*Dados!$B$5*Dados!$B$6/86400</f>
        <v>0.37452415237140879</v>
      </c>
    </row>
    <row r="38" spans="1:6" x14ac:dyDescent="0.25">
      <c r="A38" s="5" t="s">
        <v>58</v>
      </c>
      <c r="B38" s="5" t="s">
        <v>248</v>
      </c>
      <c r="C38" s="5">
        <v>131.33000000000001</v>
      </c>
      <c r="D38" s="5">
        <f>C38/Dados!$B$8*100</f>
        <v>0.6438442595987115</v>
      </c>
      <c r="E38" s="5">
        <f>Dados!$B$3*(C38/Dados!$B$8)</f>
        <v>121.37262660317614</v>
      </c>
      <c r="F38" s="5">
        <f>E38*Dados!$B$4*Dados!$B$5*Dados!$B$6/86400</f>
        <v>0.37928945813492543</v>
      </c>
    </row>
    <row r="39" spans="1:6" x14ac:dyDescent="0.25">
      <c r="A39" s="6" t="s">
        <v>59</v>
      </c>
      <c r="B39" s="6" t="s">
        <v>249</v>
      </c>
      <c r="C39" s="6">
        <v>153.47999999999999</v>
      </c>
      <c r="D39" s="6">
        <f>C39/Dados!$B$8*100</f>
        <v>0.75243445490908567</v>
      </c>
      <c r="E39" s="6">
        <f>Dados!$B$3*(C39/Dados!$B$8)</f>
        <v>141.84322493760354</v>
      </c>
      <c r="F39" s="6">
        <f>E39*Dados!$B$4*Dados!$B$5*Dados!$B$6/86400</f>
        <v>0.44326007793001104</v>
      </c>
    </row>
    <row r="40" spans="1:6" x14ac:dyDescent="0.25">
      <c r="A40" s="5" t="s">
        <v>60</v>
      </c>
      <c r="B40" s="5" t="s">
        <v>250</v>
      </c>
      <c r="C40" s="5">
        <v>137.21</v>
      </c>
      <c r="D40" s="5">
        <f>C40/Dados!$B$8*100</f>
        <v>0.67267091189780848</v>
      </c>
      <c r="E40" s="5">
        <f>Dados!$B$3*(C40/Dados!$B$8)</f>
        <v>126.80680801204446</v>
      </c>
      <c r="F40" s="5">
        <f>E40*Dados!$B$4*Dados!$B$5*Dados!$B$6/86400</f>
        <v>0.39627127503763893</v>
      </c>
    </row>
    <row r="41" spans="1:6" x14ac:dyDescent="0.25">
      <c r="A41" s="6" t="s">
        <v>61</v>
      </c>
      <c r="B41" s="6" t="s">
        <v>251</v>
      </c>
      <c r="C41" s="6">
        <v>161.69999999999999</v>
      </c>
      <c r="D41" s="6">
        <f>C41/Dados!$B$8*100</f>
        <v>0.79273293822517044</v>
      </c>
      <c r="E41" s="6">
        <f>Dados!$B$3*(C41/Dados!$B$8)</f>
        <v>149.43998874387864</v>
      </c>
      <c r="F41" s="6">
        <f>E41*Dados!$B$4*Dados!$B$5*Dados!$B$6/86400</f>
        <v>0.46699996482462075</v>
      </c>
    </row>
    <row r="42" spans="1:6" x14ac:dyDescent="0.25">
      <c r="A42" s="5" t="s">
        <v>62</v>
      </c>
      <c r="B42" s="5" t="s">
        <v>252</v>
      </c>
      <c r="C42" s="5">
        <v>241.21</v>
      </c>
      <c r="D42" s="5">
        <f>C42/Dados!$B$8*100</f>
        <v>1.1825300682083695</v>
      </c>
      <c r="E42" s="5">
        <f>Dados!$B$3*(C42/Dados!$B$8)</f>
        <v>222.92158123012345</v>
      </c>
      <c r="F42" s="5">
        <f>E42*Dados!$B$4*Dados!$B$5*Dados!$B$6/86400</f>
        <v>0.69662994134413581</v>
      </c>
    </row>
    <row r="43" spans="1:6" x14ac:dyDescent="0.25">
      <c r="A43" s="6" t="s">
        <v>63</v>
      </c>
      <c r="B43" s="6" t="s">
        <v>253</v>
      </c>
      <c r="C43" s="6">
        <v>232.78</v>
      </c>
      <c r="D43" s="6">
        <f>C43/Dados!$B$8*100</f>
        <v>1.1412020615958884</v>
      </c>
      <c r="E43" s="6">
        <f>Dados!$B$3*(C43/Dados!$B$8)</f>
        <v>215.13073951638879</v>
      </c>
      <c r="F43" s="6">
        <f>E43*Dados!$B$4*Dados!$B$5*Dados!$B$6/86400</f>
        <v>0.672283560988715</v>
      </c>
    </row>
    <row r="44" spans="1:6" x14ac:dyDescent="0.25">
      <c r="A44" s="5" t="s">
        <v>64</v>
      </c>
      <c r="B44" s="5" t="s">
        <v>254</v>
      </c>
      <c r="C44" s="5">
        <v>196.85</v>
      </c>
      <c r="D44" s="5">
        <f>C44/Dados!$B$8*100</f>
        <v>0.9650555280743649</v>
      </c>
      <c r="E44" s="5">
        <f>Dados!$B$3*(C44/Dados!$B$8)</f>
        <v>181.92493373056593</v>
      </c>
      <c r="F44" s="5">
        <f>E44*Dados!$B$4*Dados!$B$5*Dados!$B$6/86400</f>
        <v>0.56851541790801852</v>
      </c>
    </row>
    <row r="45" spans="1:6" x14ac:dyDescent="0.25">
      <c r="A45" s="6" t="s">
        <v>65</v>
      </c>
      <c r="B45" s="6" t="s">
        <v>255</v>
      </c>
      <c r="C45" s="6">
        <v>192.37</v>
      </c>
      <c r="D45" s="6">
        <f>C45/Dados!$B$8*100</f>
        <v>0.94309236441791</v>
      </c>
      <c r="E45" s="6">
        <f>Dados!$B$3*(C45/Dados!$B$8)</f>
        <v>177.78460503809484</v>
      </c>
      <c r="F45" s="6">
        <f>E45*Dados!$B$4*Dados!$B$5*Dados!$B$6/86400</f>
        <v>0.55557689074404637</v>
      </c>
    </row>
    <row r="46" spans="1:6" x14ac:dyDescent="0.25">
      <c r="A46" s="5" t="s">
        <v>66</v>
      </c>
      <c r="B46" s="5" t="s">
        <v>256</v>
      </c>
      <c r="C46" s="5">
        <v>117.32</v>
      </c>
      <c r="D46" s="5">
        <f>C46/Dados!$B$8*100</f>
        <v>0.57516034825341367</v>
      </c>
      <c r="E46" s="5">
        <f>Dados!$B$3*(C46/Dados!$B$8)</f>
        <v>108.42485763408683</v>
      </c>
      <c r="F46" s="5">
        <f>E46*Dados!$B$4*Dados!$B$5*Dados!$B$6/86400</f>
        <v>0.33882768010652131</v>
      </c>
    </row>
    <row r="47" spans="1:6" x14ac:dyDescent="0.25">
      <c r="A47" s="6" t="s">
        <v>67</v>
      </c>
      <c r="B47" s="6" t="s">
        <v>257</v>
      </c>
      <c r="C47" s="6">
        <v>166.75</v>
      </c>
      <c r="D47" s="6">
        <f>C47/Dados!$B$8*100</f>
        <v>0.81749052225755825</v>
      </c>
      <c r="E47" s="6">
        <f>Dados!$B$3*(C47/Dados!$B$8)</f>
        <v>154.10710032802575</v>
      </c>
      <c r="F47" s="6">
        <f>E47*Dados!$B$4*Dados!$B$5*Dados!$B$6/86400</f>
        <v>0.48158468852508046</v>
      </c>
    </row>
    <row r="48" spans="1:6" x14ac:dyDescent="0.25">
      <c r="A48" s="5" t="s">
        <v>68</v>
      </c>
      <c r="B48" s="5" t="s">
        <v>258</v>
      </c>
      <c r="C48" s="5">
        <v>195.9</v>
      </c>
      <c r="D48" s="5">
        <f>C48/Dados!$B$8*100</f>
        <v>0.96039816078114337</v>
      </c>
      <c r="E48" s="5">
        <f>Dados!$B$3*(C48/Dados!$B$8)</f>
        <v>181.04696224443924</v>
      </c>
      <c r="F48" s="5">
        <f>E48*Dados!$B$4*Dados!$B$5*Dados!$B$6/86400</f>
        <v>0.56577175701387261</v>
      </c>
    </row>
    <row r="49" spans="1:6" x14ac:dyDescent="0.25">
      <c r="A49" s="6" t="s">
        <v>69</v>
      </c>
      <c r="B49" s="6" t="s">
        <v>259</v>
      </c>
      <c r="C49" s="6">
        <v>112.95</v>
      </c>
      <c r="D49" s="6">
        <f>C49/Dados!$B$8*100</f>
        <v>0.55373645870459498</v>
      </c>
      <c r="E49" s="6">
        <f>Dados!$B$3*(C49/Dados!$B$8)</f>
        <v>104.3861887979041</v>
      </c>
      <c r="F49" s="6">
        <f>E49*Dados!$B$4*Dados!$B$5*Dados!$B$6/86400</f>
        <v>0.32620683999345029</v>
      </c>
    </row>
    <row r="50" spans="1:6" x14ac:dyDescent="0.25">
      <c r="A50" s="5" t="s">
        <v>70</v>
      </c>
      <c r="B50" s="5" t="s">
        <v>260</v>
      </c>
      <c r="C50" s="5">
        <v>171.17</v>
      </c>
      <c r="D50" s="5">
        <f>C50/Dados!$B$8*100</f>
        <v>0.83915953640075702</v>
      </c>
      <c r="E50" s="5">
        <f>Dados!$B$3*(C50/Dados!$B$8)</f>
        <v>158.1919781897941</v>
      </c>
      <c r="F50" s="5">
        <f>E50*Dados!$B$4*Dados!$B$5*Dados!$B$6/86400</f>
        <v>0.49434993184310649</v>
      </c>
    </row>
    <row r="51" spans="1:6" x14ac:dyDescent="0.25">
      <c r="A51" s="6" t="s">
        <v>71</v>
      </c>
      <c r="B51" s="6" t="s">
        <v>261</v>
      </c>
      <c r="C51" s="6">
        <v>161.04</v>
      </c>
      <c r="D51" s="6">
        <f>C51/Dados!$B$8*100</f>
        <v>0.78949729357935328</v>
      </c>
      <c r="E51" s="6">
        <f>Dados!$B$3*(C51/Dados!$B$8)</f>
        <v>148.83002960614849</v>
      </c>
      <c r="F51" s="6">
        <f>E51*Dados!$B$4*Dados!$B$5*Dados!$B$6/86400</f>
        <v>0.46509384251921398</v>
      </c>
    </row>
    <row r="52" spans="1:6" x14ac:dyDescent="0.25">
      <c r="A52" s="5" t="s">
        <v>72</v>
      </c>
      <c r="B52" s="5" t="s">
        <v>262</v>
      </c>
      <c r="C52" s="5">
        <v>247.7</v>
      </c>
      <c r="D52" s="5">
        <f>C52/Dados!$B$8*100</f>
        <v>1.2143472405589035</v>
      </c>
      <c r="E52" s="5">
        <f>Dados!$B$3*(C52/Dados!$B$8)</f>
        <v>228.91951275113627</v>
      </c>
      <c r="F52" s="5">
        <f>E52*Dados!$B$4*Dados!$B$5*Dados!$B$6/86400</f>
        <v>0.71537347734730083</v>
      </c>
    </row>
    <row r="53" spans="1:6" x14ac:dyDescent="0.25">
      <c r="A53" s="6" t="s">
        <v>73</v>
      </c>
      <c r="B53" s="6" t="s">
        <v>263</v>
      </c>
      <c r="C53" s="6">
        <v>74.47</v>
      </c>
      <c r="D53" s="6">
        <f>C53/Dados!$B$8*100</f>
        <v>0.36508857086968732</v>
      </c>
      <c r="E53" s="6">
        <f>Dados!$B$3*(C53/Dados!$B$8)</f>
        <v>68.823722707214856</v>
      </c>
      <c r="F53" s="6">
        <f>E53*Dados!$B$4*Dados!$B$5*Dados!$B$6/86400</f>
        <v>0.21507413346004639</v>
      </c>
    </row>
    <row r="54" spans="1:6" x14ac:dyDescent="0.25">
      <c r="A54" s="5" t="s">
        <v>74</v>
      </c>
      <c r="B54" s="5" t="s">
        <v>264</v>
      </c>
      <c r="C54" s="5">
        <v>51.83</v>
      </c>
      <c r="D54" s="5">
        <f>C54/Dados!$B$8*100</f>
        <v>0.25409615453438827</v>
      </c>
      <c r="E54" s="5">
        <f>Dados!$B$3*(C54/Dados!$B$8)</f>
        <v>47.900275922048415</v>
      </c>
      <c r="F54" s="5">
        <f>E54*Dados!$B$4*Dados!$B$5*Dados!$B$6/86400</f>
        <v>0.14968836225640131</v>
      </c>
    </row>
    <row r="55" spans="1:6" x14ac:dyDescent="0.25">
      <c r="A55" s="6" t="s">
        <v>75</v>
      </c>
      <c r="B55" s="6" t="s">
        <v>265</v>
      </c>
      <c r="C55" s="6">
        <v>56.01</v>
      </c>
      <c r="D55" s="6">
        <f>C55/Dados!$B$8*100</f>
        <v>0.27458857062456277</v>
      </c>
      <c r="E55" s="6">
        <f>Dados!$B$3*(C55/Dados!$B$8)</f>
        <v>51.763350461005828</v>
      </c>
      <c r="F55" s="6">
        <f>E55*Dados!$B$4*Dados!$B$5*Dados!$B$6/86400</f>
        <v>0.16176047019064321</v>
      </c>
    </row>
    <row r="56" spans="1:6" x14ac:dyDescent="0.25">
      <c r="A56" s="5" t="s">
        <v>76</v>
      </c>
      <c r="B56" s="5" t="s">
        <v>266</v>
      </c>
      <c r="C56" s="5">
        <v>61.21</v>
      </c>
      <c r="D56" s="5">
        <f>C56/Dados!$B$8*100</f>
        <v>0.30008152844009084</v>
      </c>
      <c r="E56" s="5">
        <f>Dados!$B$3*(C56/Dados!$B$8)</f>
        <v>56.569089121909784</v>
      </c>
      <c r="F56" s="5">
        <f>E56*Dados!$B$4*Dados!$B$5*Dados!$B$6/86400</f>
        <v>0.17677840350596807</v>
      </c>
    </row>
    <row r="57" spans="1:6" x14ac:dyDescent="0.25">
      <c r="A57" s="6" t="s">
        <v>77</v>
      </c>
      <c r="B57" s="6" t="s">
        <v>267</v>
      </c>
      <c r="C57" s="6">
        <v>43.59</v>
      </c>
      <c r="D57" s="6">
        <f>C57/Dados!$B$8*100</f>
        <v>0.21369962138055154</v>
      </c>
      <c r="E57" s="6">
        <f>Dados!$B$3*(C57/Dados!$B$8)</f>
        <v>40.285028505539088</v>
      </c>
      <c r="F57" s="6">
        <f>E57*Dados!$B$4*Dados!$B$5*Dados!$B$6/86400</f>
        <v>0.12589071407980965</v>
      </c>
    </row>
    <row r="58" spans="1:6" x14ac:dyDescent="0.25">
      <c r="A58" s="5" t="s">
        <v>78</v>
      </c>
      <c r="B58" s="5" t="s">
        <v>268</v>
      </c>
      <c r="C58" s="5">
        <v>66.03</v>
      </c>
      <c r="D58" s="5">
        <f>C58/Dados!$B$8*100</f>
        <v>0.32371153933833025</v>
      </c>
      <c r="E58" s="5">
        <f>Dados!$B$3*(C58/Dados!$B$8)</f>
        <v>61.023639188363056</v>
      </c>
      <c r="F58" s="5">
        <f>E58*Dados!$B$4*Dados!$B$5*Dados!$B$6/86400</f>
        <v>0.19069887246363457</v>
      </c>
    </row>
    <row r="59" spans="1:6" x14ac:dyDescent="0.25">
      <c r="A59" s="6" t="s">
        <v>79</v>
      </c>
      <c r="B59" s="6" t="s">
        <v>269</v>
      </c>
      <c r="C59" s="6">
        <v>88.44</v>
      </c>
      <c r="D59" s="6">
        <f>C59/Dados!$B$8*100</f>
        <v>0.43357638253948094</v>
      </c>
      <c r="E59" s="6">
        <f>Dados!$B$3*(C59/Dados!$B$8)</f>
        <v>81.734524455835654</v>
      </c>
      <c r="F59" s="6">
        <f>E59*Dados!$B$4*Dados!$B$5*Dados!$B$6/86400</f>
        <v>0.25542038892448643</v>
      </c>
    </row>
    <row r="60" spans="1:6" x14ac:dyDescent="0.25">
      <c r="A60" s="5" t="s">
        <v>80</v>
      </c>
      <c r="B60" s="5" t="s">
        <v>270</v>
      </c>
      <c r="C60" s="5">
        <v>75.62</v>
      </c>
      <c r="D60" s="5">
        <f>C60/Dados!$B$8*100</f>
        <v>0.37072643654042914</v>
      </c>
      <c r="E60" s="5">
        <f>Dados!$B$3*(C60/Dados!$B$8)</f>
        <v>69.886530295683997</v>
      </c>
      <c r="F60" s="5">
        <f>E60*Dados!$B$4*Dados!$B$5*Dados!$B$6/86400</f>
        <v>0.21839540717401248</v>
      </c>
    </row>
    <row r="61" spans="1:6" x14ac:dyDescent="0.25">
      <c r="A61" s="6" t="s">
        <v>81</v>
      </c>
      <c r="B61" s="6" t="s">
        <v>271</v>
      </c>
      <c r="C61" s="6">
        <v>81.53</v>
      </c>
      <c r="D61" s="6">
        <f>C61/Dados!$B$8*100</f>
        <v>0.39970016359615429</v>
      </c>
      <c r="E61" s="6">
        <f>Dados!$B$3*(C61/Dados!$B$8)</f>
        <v>75.348437119903679</v>
      </c>
      <c r="F61" s="6">
        <f>E61*Dados!$B$4*Dados!$B$5*Dados!$B$6/86400</f>
        <v>0.23546386599969898</v>
      </c>
    </row>
    <row r="62" spans="1:6" x14ac:dyDescent="0.25">
      <c r="A62" s="5" t="s">
        <v>82</v>
      </c>
      <c r="B62" s="5" t="s">
        <v>272</v>
      </c>
      <c r="C62" s="5">
        <v>60.33</v>
      </c>
      <c r="D62" s="5">
        <f>C62/Dados!$B$8*100</f>
        <v>0.29576733557900142</v>
      </c>
      <c r="E62" s="5">
        <f>Dados!$B$3*(C62/Dados!$B$8)</f>
        <v>55.755810271602954</v>
      </c>
      <c r="F62" s="5">
        <f>E62*Dados!$B$4*Dados!$B$5*Dados!$B$6/86400</f>
        <v>0.17423690709875922</v>
      </c>
    </row>
    <row r="63" spans="1:6" x14ac:dyDescent="0.25">
      <c r="A63" s="6" t="s">
        <v>83</v>
      </c>
      <c r="B63" s="6" t="s">
        <v>273</v>
      </c>
      <c r="C63" s="6">
        <v>86.67</v>
      </c>
      <c r="D63" s="6">
        <f>C63/Dados!$B$8*100</f>
        <v>0.42489897189842629</v>
      </c>
      <c r="E63" s="6">
        <f>Dados!$B$3*(C63/Dados!$B$8)</f>
        <v>80.098724950104895</v>
      </c>
      <c r="F63" s="6">
        <f>E63*Dados!$B$4*Dados!$B$5*Dados!$B$6/86400</f>
        <v>0.25030851546907779</v>
      </c>
    </row>
    <row r="64" spans="1:6" x14ac:dyDescent="0.25">
      <c r="A64" s="5" t="s">
        <v>84</v>
      </c>
      <c r="B64" s="5" t="s">
        <v>274</v>
      </c>
      <c r="C64" s="5">
        <v>68.41</v>
      </c>
      <c r="D64" s="5">
        <f>C64/Dados!$B$8*100</f>
        <v>0.33537947003082191</v>
      </c>
      <c r="E64" s="5">
        <f>Dados!$B$3*(C64/Dados!$B$8)</f>
        <v>63.223188806238319</v>
      </c>
      <c r="F64" s="5">
        <f>E64*Dados!$B$4*Dados!$B$5*Dados!$B$6/86400</f>
        <v>0.19757246501949474</v>
      </c>
    </row>
    <row r="65" spans="1:6" x14ac:dyDescent="0.25">
      <c r="A65" s="6" t="s">
        <v>85</v>
      </c>
      <c r="B65" s="6" t="s">
        <v>275</v>
      </c>
      <c r="C65" s="6">
        <v>121.63</v>
      </c>
      <c r="D65" s="6">
        <f>C65/Dados!$B$8*100</f>
        <v>0.59629008828897634</v>
      </c>
      <c r="E65" s="6">
        <f>Dados!$B$3*(C65/Dados!$B$8)</f>
        <v>112.40807563956683</v>
      </c>
      <c r="F65" s="6">
        <f>E65*Dados!$B$4*Dados!$B$5*Dados!$B$6/86400</f>
        <v>0.35127523637364638</v>
      </c>
    </row>
    <row r="66" spans="1:6" x14ac:dyDescent="0.25">
      <c r="A66" s="5" t="s">
        <v>86</v>
      </c>
      <c r="B66" s="5" t="s">
        <v>276</v>
      </c>
      <c r="C66" s="5">
        <v>87.4</v>
      </c>
      <c r="D66" s="5">
        <f>C66/Dados!$B$8*100</f>
        <v>0.42847779097637539</v>
      </c>
      <c r="E66" s="5">
        <f>Dados!$B$3*(C66/Dados!$B$8)</f>
        <v>80.773376723654877</v>
      </c>
      <c r="F66" s="5">
        <f>E66*Dados!$B$4*Dados!$B$5*Dados!$B$6/86400</f>
        <v>0.25241680226142149</v>
      </c>
    </row>
    <row r="67" spans="1:6" x14ac:dyDescent="0.25">
      <c r="A67" s="6" t="s">
        <v>87</v>
      </c>
      <c r="B67" s="6" t="s">
        <v>277</v>
      </c>
      <c r="C67" s="6">
        <v>100.07</v>
      </c>
      <c r="D67" s="6">
        <f>C67/Dados!$B$8*100</f>
        <v>0.49059236319228694</v>
      </c>
      <c r="E67" s="6">
        <f>Dados!$B$3*(C67/Dados!$B$8)</f>
        <v>92.482743807049687</v>
      </c>
      <c r="F67" s="6">
        <f>E67*Dados!$B$4*Dados!$B$5*Dados!$B$6/86400</f>
        <v>0.2890085743970302</v>
      </c>
    </row>
    <row r="68" spans="1:6" x14ac:dyDescent="0.25">
      <c r="A68" s="5" t="s">
        <v>88</v>
      </c>
      <c r="B68" s="5" t="s">
        <v>278</v>
      </c>
      <c r="C68" s="5">
        <v>152.94</v>
      </c>
      <c r="D68" s="5">
        <f>C68/Dados!$B$8*100</f>
        <v>0.74978710928978087</v>
      </c>
      <c r="E68" s="5">
        <f>Dados!$B$3*(C68/Dados!$B$8)</f>
        <v>141.34416746127891</v>
      </c>
      <c r="F68" s="5">
        <f>E68*Dados!$B$4*Dados!$B$5*Dados!$B$6/86400</f>
        <v>0.44170052331649662</v>
      </c>
    </row>
    <row r="69" spans="1:6" x14ac:dyDescent="0.25">
      <c r="A69" s="6" t="s">
        <v>89</v>
      </c>
      <c r="B69" s="6" t="s">
        <v>279</v>
      </c>
      <c r="C69" s="6">
        <v>77.84</v>
      </c>
      <c r="D69" s="6">
        <f>C69/Dados!$B$8*100</f>
        <v>0.38160996853090462</v>
      </c>
      <c r="E69" s="6">
        <f>Dados!$B$3*(C69/Dados!$B$8)</f>
        <v>71.938211031685299</v>
      </c>
      <c r="F69" s="6">
        <f>E69*Dados!$B$4*Dados!$B$5*Dados!$B$6/86400</f>
        <v>0.22480690947401655</v>
      </c>
    </row>
    <row r="70" spans="1:6" x14ac:dyDescent="0.25">
      <c r="A70" s="5" t="s">
        <v>90</v>
      </c>
      <c r="B70" s="5" t="s">
        <v>280</v>
      </c>
      <c r="C70" s="5">
        <v>47.05</v>
      </c>
      <c r="D70" s="5">
        <f>C70/Dados!$B$8*100</f>
        <v>0.23066224331165286</v>
      </c>
      <c r="E70" s="5">
        <f>Dados!$B$3*(C70/Dados!$B$8)</f>
        <v>43.482693076063633</v>
      </c>
      <c r="F70" s="5">
        <f>E70*Dados!$B$4*Dados!$B$5*Dados!$B$6/86400</f>
        <v>0.13588341586269881</v>
      </c>
    </row>
    <row r="71" spans="1:6" x14ac:dyDescent="0.25">
      <c r="A71" s="6" t="s">
        <v>91</v>
      </c>
      <c r="B71" s="6" t="s">
        <v>281</v>
      </c>
      <c r="C71" s="6">
        <v>124.98</v>
      </c>
      <c r="D71" s="6">
        <f>C71/Dados!$B$8*100</f>
        <v>0.61271343611244167</v>
      </c>
      <c r="E71" s="6">
        <f>Dados!$B$3*(C71/Dados!$B$8)</f>
        <v>115.50408035380305</v>
      </c>
      <c r="F71" s="6">
        <f>E71*Dados!$B$4*Dados!$B$5*Dados!$B$6/86400</f>
        <v>0.3609502511056345</v>
      </c>
    </row>
    <row r="72" spans="1:6" x14ac:dyDescent="0.25">
      <c r="A72" s="5" t="s">
        <v>92</v>
      </c>
      <c r="B72" s="5" t="s">
        <v>282</v>
      </c>
      <c r="C72" s="5">
        <v>181.95</v>
      </c>
      <c r="D72" s="5">
        <f>C72/Dados!$B$8*100</f>
        <v>0.89200839894910178</v>
      </c>
      <c r="E72" s="5">
        <f>Dados!$B$3*(C72/Dados!$B$8)</f>
        <v>168.15464410605267</v>
      </c>
      <c r="F72" s="5">
        <f>E72*Dados!$B$4*Dados!$B$5*Dados!$B$6/86400</f>
        <v>0.52548326283141455</v>
      </c>
    </row>
    <row r="73" spans="1:6" x14ac:dyDescent="0.25">
      <c r="A73" s="6" t="s">
        <v>93</v>
      </c>
      <c r="B73" s="6" t="s">
        <v>283</v>
      </c>
      <c r="C73" s="6">
        <v>183.29</v>
      </c>
      <c r="D73" s="6">
        <f>C73/Dados!$B$8*100</f>
        <v>0.89857773807848784</v>
      </c>
      <c r="E73" s="6">
        <f>Dados!$B$3*(C73/Dados!$B$8)</f>
        <v>169.39304599174713</v>
      </c>
      <c r="F73" s="6">
        <f>E73*Dados!$B$4*Dados!$B$5*Dados!$B$6/86400</f>
        <v>0.52935326872420974</v>
      </c>
    </row>
    <row r="74" spans="1:6" x14ac:dyDescent="0.25">
      <c r="A74" s="5" t="s">
        <v>94</v>
      </c>
      <c r="B74" s="5" t="s">
        <v>284</v>
      </c>
      <c r="C74" s="5">
        <v>147.16999999999999</v>
      </c>
      <c r="D74" s="5">
        <f>C74/Dados!$B$8*100</f>
        <v>0.72149973109831977</v>
      </c>
      <c r="E74" s="5">
        <f>Dados!$B$3*(C74/Dados!$B$8)</f>
        <v>136.01164590869891</v>
      </c>
      <c r="F74" s="5">
        <f>E74*Dados!$B$4*Dados!$B$5*Dados!$B$6/86400</f>
        <v>0.42503639346468408</v>
      </c>
    </row>
    <row r="75" spans="1:6" x14ac:dyDescent="0.25">
      <c r="A75" s="6" t="s">
        <v>95</v>
      </c>
      <c r="B75" s="6" t="s">
        <v>285</v>
      </c>
      <c r="C75" s="6">
        <v>95.44</v>
      </c>
      <c r="D75" s="6">
        <f>C75/Dados!$B$8*100</f>
        <v>0.46789382575269178</v>
      </c>
      <c r="E75" s="6">
        <f>Dados!$B$3*(C75/Dados!$B$8)</f>
        <v>88.203788037821738</v>
      </c>
      <c r="F75" s="6">
        <f>E75*Dados!$B$4*Dados!$B$5*Dados!$B$6/86400</f>
        <v>0.27563683761819285</v>
      </c>
    </row>
    <row r="76" spans="1:6" x14ac:dyDescent="0.25">
      <c r="A76" s="5" t="s">
        <v>96</v>
      </c>
      <c r="B76" s="5" t="s">
        <v>286</v>
      </c>
      <c r="C76" s="5">
        <v>87.74</v>
      </c>
      <c r="D76" s="5">
        <f>C76/Dados!$B$8*100</f>
        <v>0.43014463821815985</v>
      </c>
      <c r="E76" s="5">
        <f>Dados!$B$3*(C76/Dados!$B$8)</f>
        <v>81.087598097637041</v>
      </c>
      <c r="F76" s="5">
        <f>E76*Dados!$B$4*Dados!$B$5*Dados!$B$6/86400</f>
        <v>0.25339874405511575</v>
      </c>
    </row>
    <row r="77" spans="1:6" x14ac:dyDescent="0.25">
      <c r="A77" s="6" t="s">
        <v>97</v>
      </c>
      <c r="B77" s="6" t="s">
        <v>287</v>
      </c>
      <c r="C77" s="6">
        <v>90.15</v>
      </c>
      <c r="D77" s="6">
        <f>C77/Dados!$B$8*100</f>
        <v>0.44195964366727963</v>
      </c>
      <c r="E77" s="6">
        <f>Dados!$B$3*(C77/Dados!$B$8)</f>
        <v>83.314873130863688</v>
      </c>
      <c r="F77" s="6">
        <f>E77*Dados!$B$4*Dados!$B$5*Dados!$B$6/86400</f>
        <v>0.26035897853394896</v>
      </c>
    </row>
    <row r="78" spans="1:6" x14ac:dyDescent="0.25">
      <c r="A78" s="5" t="s">
        <v>98</v>
      </c>
      <c r="B78" s="5" t="s">
        <v>288</v>
      </c>
      <c r="C78" s="5">
        <v>77.069999999999993</v>
      </c>
      <c r="D78" s="5">
        <f>C78/Dados!$B$8*100</f>
        <v>0.3778350497774513</v>
      </c>
      <c r="E78" s="5">
        <f>Dados!$B$3*(C78/Dados!$B$8)</f>
        <v>71.226592037666819</v>
      </c>
      <c r="F78" s="5">
        <f>E78*Dados!$B$4*Dados!$B$5*Dados!$B$6/86400</f>
        <v>0.22258310011770879</v>
      </c>
    </row>
    <row r="79" spans="1:6" x14ac:dyDescent="0.25">
      <c r="A79" s="6" t="s">
        <v>99</v>
      </c>
      <c r="B79" s="6" t="s">
        <v>289</v>
      </c>
      <c r="C79" s="6">
        <v>169.31</v>
      </c>
      <c r="D79" s="6">
        <f>C79/Dados!$B$8*100</f>
        <v>0.83004090148981813</v>
      </c>
      <c r="E79" s="6">
        <f>Dados!$B$3*(C79/Dados!$B$8)</f>
        <v>156.47300243800922</v>
      </c>
      <c r="F79" s="6">
        <f>E79*Dados!$B$4*Dados!$B$5*Dados!$B$6/86400</f>
        <v>0.48897813261877876</v>
      </c>
    </row>
    <row r="80" spans="1:6" x14ac:dyDescent="0.25">
      <c r="A80" s="5" t="s">
        <v>100</v>
      </c>
      <c r="B80" s="5" t="s">
        <v>290</v>
      </c>
      <c r="C80" s="5">
        <v>194.04</v>
      </c>
      <c r="D80" s="5">
        <f>C80/Dados!$B$8*100</f>
        <v>0.95127952587020448</v>
      </c>
      <c r="E80" s="5">
        <f>Dados!$B$3*(C80/Dados!$B$8)</f>
        <v>179.32798649265436</v>
      </c>
      <c r="F80" s="5">
        <f>E80*Dados!$B$4*Dados!$B$5*Dados!$B$6/86400</f>
        <v>0.56039995778954488</v>
      </c>
    </row>
    <row r="81" spans="1:6" x14ac:dyDescent="0.25">
      <c r="A81" s="6" t="s">
        <v>101</v>
      </c>
      <c r="B81" s="6" t="s">
        <v>291</v>
      </c>
      <c r="C81" s="6">
        <v>163.91</v>
      </c>
      <c r="D81" s="6">
        <f>C81/Dados!$B$8*100</f>
        <v>0.80356744529676982</v>
      </c>
      <c r="E81" s="6">
        <f>Dados!$B$3*(C81/Dados!$B$8)</f>
        <v>151.48242767476279</v>
      </c>
      <c r="F81" s="6">
        <f>E81*Dados!$B$4*Dados!$B$5*Dados!$B$6/86400</f>
        <v>0.47338258648363368</v>
      </c>
    </row>
    <row r="82" spans="1:6" x14ac:dyDescent="0.25">
      <c r="A82" s="5" t="s">
        <v>102</v>
      </c>
      <c r="B82" s="5" t="s">
        <v>292</v>
      </c>
      <c r="C82" s="5">
        <v>123.2</v>
      </c>
      <c r="D82" s="5">
        <f>C82/Dados!$B$8*100</f>
        <v>0.60398700055251087</v>
      </c>
      <c r="E82" s="5">
        <f>Dados!$B$3*(C82/Dados!$B$8)</f>
        <v>113.85903904295515</v>
      </c>
      <c r="F82" s="5">
        <f>E82*Dados!$B$4*Dados!$B$5*Dados!$B$6/86400</f>
        <v>0.35580949700923475</v>
      </c>
    </row>
    <row r="83" spans="1:6" x14ac:dyDescent="0.25">
      <c r="A83" s="6" t="s">
        <v>103</v>
      </c>
      <c r="B83" s="6" t="s">
        <v>293</v>
      </c>
      <c r="C83" s="6">
        <v>98.88</v>
      </c>
      <c r="D83" s="6">
        <f>C83/Dados!$B$8*100</f>
        <v>0.48475839784604113</v>
      </c>
      <c r="E83" s="6">
        <f>Dados!$B$3*(C83/Dados!$B$8)</f>
        <v>91.382968998112062</v>
      </c>
      <c r="F83" s="6">
        <f>E83*Dados!$B$4*Dados!$B$5*Dados!$B$6/86400</f>
        <v>0.28557177811910017</v>
      </c>
    </row>
    <row r="84" spans="1:6" x14ac:dyDescent="0.25">
      <c r="A84" s="5" t="s">
        <v>104</v>
      </c>
      <c r="B84" s="5" t="s">
        <v>294</v>
      </c>
      <c r="C84" s="5">
        <v>145.63999999999999</v>
      </c>
      <c r="D84" s="5">
        <f>C84/Dados!$B$8*100</f>
        <v>0.71399891851028952</v>
      </c>
      <c r="E84" s="5">
        <f>Dados!$B$3*(C84/Dados!$B$8)</f>
        <v>134.59764972577912</v>
      </c>
      <c r="F84" s="5">
        <f>E84*Dados!$B$4*Dados!$B$5*Dados!$B$6/86400</f>
        <v>0.42061765539305968</v>
      </c>
    </row>
    <row r="85" spans="1:6" x14ac:dyDescent="0.25">
      <c r="A85" s="6" t="s">
        <v>105</v>
      </c>
      <c r="B85" s="6" t="s">
        <v>295</v>
      </c>
      <c r="C85" s="6">
        <v>103.9</v>
      </c>
      <c r="D85" s="6">
        <f>C85/Dados!$B$8*100</f>
        <v>0.50936890712180094</v>
      </c>
      <c r="E85" s="6">
        <f>Dados!$B$3*(C85/Dados!$B$8)</f>
        <v>96.022355166907786</v>
      </c>
      <c r="F85" s="6">
        <f>E85*Dados!$B$4*Dados!$B$5*Dados!$B$6/86400</f>
        <v>0.3000698598965868</v>
      </c>
    </row>
    <row r="86" spans="1:6" x14ac:dyDescent="0.25">
      <c r="A86" s="5" t="s">
        <v>106</v>
      </c>
      <c r="B86" s="5" t="s">
        <v>296</v>
      </c>
      <c r="C86" s="5">
        <v>106.96</v>
      </c>
      <c r="D86" s="5">
        <f>C86/Dados!$B$8*100</f>
        <v>0.52437053229786168</v>
      </c>
      <c r="E86" s="5">
        <f>Dados!$B$3*(C86/Dados!$B$8)</f>
        <v>98.850347532747421</v>
      </c>
      <c r="F86" s="5">
        <f>E86*Dados!$B$4*Dados!$B$5*Dados!$B$6/86400</f>
        <v>0.30890733603983572</v>
      </c>
    </row>
    <row r="87" spans="1:6" x14ac:dyDescent="0.25">
      <c r="A87" s="6" t="s">
        <v>107</v>
      </c>
      <c r="B87" s="6" t="s">
        <v>297</v>
      </c>
      <c r="C87" s="6">
        <v>64</v>
      </c>
      <c r="D87" s="6">
        <f>C87/Dados!$B$8*100</f>
        <v>0.31375948080649912</v>
      </c>
      <c r="E87" s="6">
        <f>Dados!$B$3*(C87/Dados!$B$8)</f>
        <v>59.147552749587092</v>
      </c>
      <c r="F87" s="6">
        <f>E87*Dados!$B$4*Dados!$B$5*Dados!$B$6/86400</f>
        <v>0.18483610234245967</v>
      </c>
    </row>
    <row r="88" spans="1:6" x14ac:dyDescent="0.25">
      <c r="A88" s="5" t="s">
        <v>108</v>
      </c>
      <c r="B88" s="5" t="s">
        <v>298</v>
      </c>
      <c r="C88" s="5">
        <v>39.94</v>
      </c>
      <c r="D88" s="5">
        <f>C88/Dados!$B$8*100</f>
        <v>0.19580552599080583</v>
      </c>
      <c r="E88" s="5">
        <f>Dados!$B$3*(C88/Dados!$B$8)</f>
        <v>36.911769637789192</v>
      </c>
      <c r="F88" s="5">
        <f>E88*Dados!$B$4*Dados!$B$5*Dados!$B$6/86400</f>
        <v>0.11534928011809122</v>
      </c>
    </row>
    <row r="89" spans="1:6" x14ac:dyDescent="0.25">
      <c r="A89" s="6" t="s">
        <v>109</v>
      </c>
      <c r="B89" s="6" t="s">
        <v>299</v>
      </c>
      <c r="C89" s="6">
        <v>58.15</v>
      </c>
      <c r="D89" s="6">
        <f>C89/Dados!$B$8*100</f>
        <v>0.28507990326403004</v>
      </c>
      <c r="E89" s="6">
        <f>Dados!$B$3*(C89/Dados!$B$8)</f>
        <v>53.741096756070142</v>
      </c>
      <c r="F89" s="6">
        <f>E89*Dados!$B$4*Dados!$B$5*Dados!$B$6/86400</f>
        <v>0.16794092736271918</v>
      </c>
    </row>
    <row r="90" spans="1:6" x14ac:dyDescent="0.25">
      <c r="A90" s="5" t="s">
        <v>110</v>
      </c>
      <c r="B90" s="5" t="s">
        <v>300</v>
      </c>
      <c r="C90" s="5">
        <v>86.29</v>
      </c>
      <c r="D90" s="5">
        <f>C90/Dados!$B$8*100</f>
        <v>0.42303602498113774</v>
      </c>
      <c r="E90" s="5">
        <f>Dados!$B$3*(C90/Dados!$B$8)</f>
        <v>79.747536355654233</v>
      </c>
      <c r="F90" s="5">
        <f>E90*Dados!$B$4*Dados!$B$5*Dados!$B$6/86400</f>
        <v>0.24921105111141947</v>
      </c>
    </row>
    <row r="91" spans="1:6" x14ac:dyDescent="0.25">
      <c r="A91" s="6" t="s">
        <v>111</v>
      </c>
      <c r="B91" s="6" t="s">
        <v>301</v>
      </c>
      <c r="C91" s="6">
        <v>55.98</v>
      </c>
      <c r="D91" s="6">
        <f>C91/Dados!$B$8*100</f>
        <v>0.2744414958679347</v>
      </c>
      <c r="E91" s="6">
        <f>Dados!$B$3*(C91/Dados!$B$8)</f>
        <v>51.735625045654459</v>
      </c>
      <c r="F91" s="6">
        <f>E91*Dados!$B$4*Dados!$B$5*Dados!$B$6/86400</f>
        <v>0.16167382826767018</v>
      </c>
    </row>
    <row r="92" spans="1:6" x14ac:dyDescent="0.25">
      <c r="A92" s="5" t="s">
        <v>112</v>
      </c>
      <c r="B92" s="5" t="s">
        <v>302</v>
      </c>
      <c r="C92" s="5">
        <v>88.68</v>
      </c>
      <c r="D92" s="5">
        <f>C92/Dados!$B$8*100</f>
        <v>0.43475298059250533</v>
      </c>
      <c r="E92" s="5">
        <f>Dados!$B$3*(C92/Dados!$B$8)</f>
        <v>81.95632777864661</v>
      </c>
      <c r="F92" s="5">
        <f>E92*Dados!$B$4*Dados!$B$5*Dados!$B$6/86400</f>
        <v>0.25611352430827067</v>
      </c>
    </row>
    <row r="93" spans="1:6" x14ac:dyDescent="0.25">
      <c r="A93" s="6" t="s">
        <v>113</v>
      </c>
      <c r="B93" s="6" t="s">
        <v>303</v>
      </c>
      <c r="C93" s="6">
        <v>132.93</v>
      </c>
      <c r="D93" s="6">
        <f>C93/Dados!$B$8*100</f>
        <v>0.65168824661887392</v>
      </c>
      <c r="E93" s="6">
        <f>Dados!$B$3*(C93/Dados!$B$8)</f>
        <v>122.85131542191583</v>
      </c>
      <c r="F93" s="6">
        <f>E93*Dados!$B$4*Dados!$B$5*Dados!$B$6/86400</f>
        <v>0.38391036069348694</v>
      </c>
    </row>
    <row r="94" spans="1:6" x14ac:dyDescent="0.25">
      <c r="A94" s="5" t="s">
        <v>114</v>
      </c>
      <c r="B94" s="5" t="s">
        <v>304</v>
      </c>
      <c r="C94" s="5">
        <v>109.9</v>
      </c>
      <c r="D94" s="5">
        <f>C94/Dados!$B$8*100</f>
        <v>0.53878385844741028</v>
      </c>
      <c r="E94" s="5">
        <f>Dados!$B$3*(C94/Dados!$B$8)</f>
        <v>101.56743823718159</v>
      </c>
      <c r="F94" s="5">
        <f>E94*Dados!$B$4*Dados!$B$5*Dados!$B$6/86400</f>
        <v>0.31739824449119247</v>
      </c>
    </row>
    <row r="95" spans="1:6" x14ac:dyDescent="0.25">
      <c r="A95" s="6" t="s">
        <v>115</v>
      </c>
      <c r="B95" s="6" t="s">
        <v>305</v>
      </c>
      <c r="C95" s="6">
        <v>86</v>
      </c>
      <c r="D95" s="6">
        <f>C95/Dados!$B$8*100</f>
        <v>0.42161430233373315</v>
      </c>
      <c r="E95" s="6">
        <f>Dados!$B$3*(C95/Dados!$B$8)</f>
        <v>79.479524007257638</v>
      </c>
      <c r="F95" s="6">
        <f>E95*Dados!$B$4*Dados!$B$5*Dados!$B$6/86400</f>
        <v>0.24837351252268014</v>
      </c>
    </row>
    <row r="96" spans="1:6" x14ac:dyDescent="0.25">
      <c r="A96" s="5" t="s">
        <v>116</v>
      </c>
      <c r="B96" s="5" t="s">
        <v>306</v>
      </c>
      <c r="C96" s="5">
        <v>77.41</v>
      </c>
      <c r="D96" s="5">
        <f>C96/Dados!$B$8*100</f>
        <v>0.37950189701923587</v>
      </c>
      <c r="E96" s="5">
        <f>Dados!$B$3*(C96/Dados!$B$8)</f>
        <v>71.540813411648998</v>
      </c>
      <c r="F96" s="5">
        <f>E96*Dados!$B$4*Dados!$B$5*Dados!$B$6/86400</f>
        <v>0.22356504191140308</v>
      </c>
    </row>
    <row r="97" spans="1:6" x14ac:dyDescent="0.25">
      <c r="A97" s="6" t="s">
        <v>117</v>
      </c>
      <c r="B97" s="6" t="s">
        <v>307</v>
      </c>
      <c r="C97" s="6">
        <v>124.84</v>
      </c>
      <c r="D97" s="6">
        <f>C97/Dados!$B$8*100</f>
        <v>0.61202708724817745</v>
      </c>
      <c r="E97" s="6">
        <f>Dados!$B$3*(C97/Dados!$B$8)</f>
        <v>115.37469508216333</v>
      </c>
      <c r="F97" s="6">
        <f>E97*Dados!$B$4*Dados!$B$5*Dados!$B$6/86400</f>
        <v>0.3605459221317604</v>
      </c>
    </row>
    <row r="98" spans="1:6" x14ac:dyDescent="0.25">
      <c r="A98" s="5" t="s">
        <v>118</v>
      </c>
      <c r="B98" s="5" t="s">
        <v>308</v>
      </c>
      <c r="C98" s="5">
        <v>74.02</v>
      </c>
      <c r="D98" s="5">
        <f>C98/Dados!$B$8*100</f>
        <v>0.3628824495202666</v>
      </c>
      <c r="E98" s="5">
        <f>Dados!$B$3*(C98/Dados!$B$8)</f>
        <v>68.407841476944313</v>
      </c>
      <c r="F98" s="5">
        <f>E98*Dados!$B$4*Dados!$B$5*Dados!$B$6/86400</f>
        <v>0.213774504615451</v>
      </c>
    </row>
    <row r="99" spans="1:6" x14ac:dyDescent="0.25">
      <c r="A99" s="6" t="s">
        <v>119</v>
      </c>
      <c r="B99" s="6" t="s">
        <v>309</v>
      </c>
      <c r="C99" s="6">
        <v>127.52</v>
      </c>
      <c r="D99" s="6">
        <f>C99/Dados!$B$8*100</f>
        <v>0.62516576550694947</v>
      </c>
      <c r="E99" s="6">
        <f>Dados!$B$3*(C99/Dados!$B$8)</f>
        <v>117.85149885355227</v>
      </c>
      <c r="F99" s="6">
        <f>E99*Dados!$B$4*Dados!$B$5*Dados!$B$6/86400</f>
        <v>0.36828593391735087</v>
      </c>
    </row>
    <row r="100" spans="1:6" x14ac:dyDescent="0.25">
      <c r="A100" s="5" t="s">
        <v>120</v>
      </c>
      <c r="B100" s="5" t="s">
        <v>310</v>
      </c>
      <c r="C100" s="5">
        <v>103.85</v>
      </c>
      <c r="D100" s="5">
        <f>C100/Dados!$B$8*100</f>
        <v>0.50912378252742085</v>
      </c>
      <c r="E100" s="5">
        <f>Dados!$B$3*(C100/Dados!$B$8)</f>
        <v>95.976146141322175</v>
      </c>
      <c r="F100" s="5">
        <f>E100*Dados!$B$4*Dados!$B$5*Dados!$B$6/86400</f>
        <v>0.29992545669163179</v>
      </c>
    </row>
    <row r="101" spans="1:6" x14ac:dyDescent="0.25">
      <c r="A101" s="6" t="s">
        <v>121</v>
      </c>
      <c r="B101" s="6" t="s">
        <v>311</v>
      </c>
      <c r="C101" s="6">
        <v>120.25</v>
      </c>
      <c r="D101" s="6">
        <f>C101/Dados!$B$8*100</f>
        <v>0.58952464948408623</v>
      </c>
      <c r="E101" s="6">
        <f>Dados!$B$3*(C101/Dados!$B$8)</f>
        <v>111.13270653340388</v>
      </c>
      <c r="F101" s="6">
        <f>E101*Dados!$B$4*Dados!$B$5*Dados!$B$6/86400</f>
        <v>0.34728970791688712</v>
      </c>
    </row>
    <row r="102" spans="1:6" x14ac:dyDescent="0.25">
      <c r="A102" s="5" t="s">
        <v>122</v>
      </c>
      <c r="B102" s="5" t="s">
        <v>312</v>
      </c>
      <c r="C102" s="5">
        <v>93.33</v>
      </c>
      <c r="D102" s="5">
        <f>C102/Dados!$B$8*100</f>
        <v>0.45754956786985251</v>
      </c>
      <c r="E102" s="5">
        <f>Dados!$B$3*(C102/Dados!$B$8)</f>
        <v>86.253767158108786</v>
      </c>
      <c r="F102" s="5">
        <f>E102*Dados!$B$4*Dados!$B$5*Dados!$B$6/86400</f>
        <v>0.26954302236908995</v>
      </c>
    </row>
    <row r="103" spans="1:6" x14ac:dyDescent="0.25">
      <c r="A103" s="6" t="s">
        <v>123</v>
      </c>
      <c r="B103" s="6" t="s">
        <v>313</v>
      </c>
      <c r="C103" s="6">
        <v>110.41</v>
      </c>
      <c r="D103" s="6">
        <f>C103/Dados!$B$8*100</f>
        <v>0.54128412931008696</v>
      </c>
      <c r="E103" s="6">
        <f>Dados!$B$3*(C103/Dados!$B$8)</f>
        <v>102.03877029815484</v>
      </c>
      <c r="F103" s="6">
        <f>E103*Dados!$B$4*Dados!$B$5*Dados!$B$6/86400</f>
        <v>0.31887115718173392</v>
      </c>
    </row>
    <row r="104" spans="1:6" x14ac:dyDescent="0.25">
      <c r="A104" s="5" t="s">
        <v>124</v>
      </c>
      <c r="B104" s="5" t="s">
        <v>314</v>
      </c>
      <c r="C104" s="5">
        <v>99.09</v>
      </c>
      <c r="D104" s="5">
        <f>C104/Dados!$B$8*100</f>
        <v>0.48578792114243752</v>
      </c>
      <c r="E104" s="5">
        <f>Dados!$B$3*(C104/Dados!$B$8)</f>
        <v>91.577046905571649</v>
      </c>
      <c r="F104" s="5">
        <f>E104*Dados!$B$4*Dados!$B$5*Dados!$B$6/86400</f>
        <v>0.28617827157991138</v>
      </c>
    </row>
    <row r="105" spans="1:6" x14ac:dyDescent="0.25">
      <c r="A105" s="6" t="s">
        <v>125</v>
      </c>
      <c r="B105" s="6" t="s">
        <v>315</v>
      </c>
      <c r="C105" s="6">
        <v>77.03</v>
      </c>
      <c r="D105" s="6">
        <f>C105/Dados!$B$8*100</f>
        <v>0.37763895010194731</v>
      </c>
      <c r="E105" s="6">
        <f>Dados!$B$3*(C105/Dados!$B$8)</f>
        <v>71.189624817198336</v>
      </c>
      <c r="F105" s="6">
        <f>E105*Dados!$B$4*Dados!$B$5*Dados!$B$6/86400</f>
        <v>0.22246757755374483</v>
      </c>
    </row>
    <row r="106" spans="1:6" x14ac:dyDescent="0.25">
      <c r="A106" s="5" t="s">
        <v>126</v>
      </c>
      <c r="B106" s="5" t="s">
        <v>316</v>
      </c>
      <c r="C106" s="5">
        <v>130.46</v>
      </c>
      <c r="D106" s="5">
        <f>C106/Dados!$B$8*100</f>
        <v>0.63957909165649807</v>
      </c>
      <c r="E106" s="5">
        <f>Dados!$B$3*(C106/Dados!$B$8)</f>
        <v>120.56858955798644</v>
      </c>
      <c r="F106" s="5">
        <f>E106*Dados!$B$4*Dados!$B$5*Dados!$B$6/86400</f>
        <v>0.37677684236870762</v>
      </c>
    </row>
    <row r="107" spans="1:6" x14ac:dyDescent="0.25">
      <c r="A107" s="6" t="s">
        <v>127</v>
      </c>
      <c r="B107" s="6" t="s">
        <v>317</v>
      </c>
      <c r="C107" s="6">
        <v>114.37</v>
      </c>
      <c r="D107" s="6">
        <f>C107/Dados!$B$8*100</f>
        <v>0.56069799718498914</v>
      </c>
      <c r="E107" s="6">
        <f>Dados!$B$3*(C107/Dados!$B$8)</f>
        <v>105.69852512453555</v>
      </c>
      <c r="F107" s="6">
        <f>E107*Dados!$B$4*Dados!$B$5*Dados!$B$6/86400</f>
        <v>0.33030789101417357</v>
      </c>
    </row>
    <row r="108" spans="1:6" x14ac:dyDescent="0.25">
      <c r="A108" s="5" t="s">
        <v>128</v>
      </c>
      <c r="B108" s="5" t="s">
        <v>318</v>
      </c>
      <c r="C108" s="5">
        <v>84.99</v>
      </c>
      <c r="D108" s="5">
        <f>C108/Dados!$B$8*100</f>
        <v>0.41666278552725561</v>
      </c>
      <c r="E108" s="5">
        <f>Dados!$B$3*(C108/Dados!$B$8)</f>
        <v>78.54610169042823</v>
      </c>
      <c r="F108" s="5">
        <f>E108*Dados!$B$4*Dados!$B$5*Dados!$B$6/86400</f>
        <v>0.24545656778258823</v>
      </c>
    </row>
    <row r="109" spans="1:6" x14ac:dyDescent="0.25">
      <c r="A109" s="6" t="s">
        <v>129</v>
      </c>
      <c r="B109" s="6" t="s">
        <v>319</v>
      </c>
      <c r="C109" s="6">
        <v>142.94</v>
      </c>
      <c r="D109" s="6">
        <f>C109/Dados!$B$8*100</f>
        <v>0.70076219041376542</v>
      </c>
      <c r="E109" s="6">
        <f>Dados!$B$3*(C109/Dados!$B$8)</f>
        <v>132.10236234415592</v>
      </c>
      <c r="F109" s="6">
        <f>E109*Dados!$B$4*Dados!$B$5*Dados!$B$6/86400</f>
        <v>0.41281988232548722</v>
      </c>
    </row>
    <row r="110" spans="1:6" x14ac:dyDescent="0.25">
      <c r="A110" s="5" t="s">
        <v>130</v>
      </c>
      <c r="B110" s="5" t="s">
        <v>320</v>
      </c>
      <c r="C110" s="5">
        <v>119.2</v>
      </c>
      <c r="D110" s="5">
        <f>C110/Dados!$B$8*100</f>
        <v>0.58437703300210464</v>
      </c>
      <c r="E110" s="5">
        <f>Dados!$B$3*(C110/Dados!$B$8)</f>
        <v>110.16231699610596</v>
      </c>
      <c r="F110" s="5">
        <f>E110*Dados!$B$4*Dados!$B$5*Dados!$B$6/86400</f>
        <v>0.34425724061283103</v>
      </c>
    </row>
    <row r="111" spans="1:6" x14ac:dyDescent="0.25">
      <c r="A111" s="6" t="s">
        <v>131</v>
      </c>
      <c r="B111" s="6" t="s">
        <v>321</v>
      </c>
      <c r="C111" s="6">
        <v>58.91</v>
      </c>
      <c r="D111" s="6">
        <f>C111/Dados!$B$8*100</f>
        <v>0.28880579709860721</v>
      </c>
      <c r="E111" s="6">
        <f>Dados!$B$3*(C111/Dados!$B$8)</f>
        <v>54.443473944971487</v>
      </c>
      <c r="F111" s="6">
        <f>E111*Dados!$B$4*Dados!$B$5*Dados!$B$6/86400</f>
        <v>0.17013585607803589</v>
      </c>
    </row>
    <row r="112" spans="1:6" x14ac:dyDescent="0.25">
      <c r="A112" s="5" t="s">
        <v>132</v>
      </c>
      <c r="B112" s="5" t="s">
        <v>322</v>
      </c>
      <c r="C112" s="5">
        <v>78.89</v>
      </c>
      <c r="D112" s="5">
        <f>C112/Dados!$B$8*100</f>
        <v>0.38675758501288615</v>
      </c>
      <c r="E112" s="5">
        <f>Dados!$B$3*(C112/Dados!$B$8)</f>
        <v>72.908600568983204</v>
      </c>
      <c r="F112" s="5">
        <f>E112*Dados!$B$4*Dados!$B$5*Dados!$B$6/86400</f>
        <v>0.22783937677807251</v>
      </c>
    </row>
    <row r="113" spans="1:6" x14ac:dyDescent="0.25">
      <c r="A113" s="6" t="s">
        <v>133</v>
      </c>
      <c r="B113" s="6" t="s">
        <v>323</v>
      </c>
      <c r="C113" s="6">
        <v>81.84</v>
      </c>
      <c r="D113" s="6">
        <f>C113/Dados!$B$8*100</f>
        <v>0.40121993608131079</v>
      </c>
      <c r="E113" s="6">
        <f>Dados!$B$3*(C113/Dados!$B$8)</f>
        <v>75.634933078534502</v>
      </c>
      <c r="F113" s="6">
        <f>E113*Dados!$B$4*Dados!$B$5*Dados!$B$6/86400</f>
        <v>0.23635916587042033</v>
      </c>
    </row>
    <row r="114" spans="1:6" x14ac:dyDescent="0.25">
      <c r="A114" s="5" t="s">
        <v>134</v>
      </c>
      <c r="B114" s="5" t="s">
        <v>324</v>
      </c>
      <c r="C114" s="5">
        <v>106.27</v>
      </c>
      <c r="D114" s="5">
        <f>C114/Dados!$B$8*100</f>
        <v>0.52098781289541651</v>
      </c>
      <c r="E114" s="5">
        <f>Dados!$B$3*(C114/Dados!$B$8)</f>
        <v>98.212662979665922</v>
      </c>
      <c r="F114" s="5">
        <f>E114*Dados!$B$4*Dados!$B$5*Dados!$B$6/86400</f>
        <v>0.30691457181145604</v>
      </c>
    </row>
    <row r="115" spans="1:6" x14ac:dyDescent="0.25">
      <c r="A115" s="6" t="s">
        <v>135</v>
      </c>
      <c r="B115" s="6" t="s">
        <v>325</v>
      </c>
      <c r="C115" s="6">
        <v>197.64</v>
      </c>
      <c r="D115" s="6">
        <f>C115/Dados!$B$8*100</f>
        <v>0.96892849666557013</v>
      </c>
      <c r="E115" s="6">
        <f>Dados!$B$3*(C115/Dados!$B$8)</f>
        <v>182.65503633481865</v>
      </c>
      <c r="F115" s="6">
        <f>E115*Dados!$B$4*Dados!$B$5*Dados!$B$6/86400</f>
        <v>0.57079698854630834</v>
      </c>
    </row>
    <row r="116" spans="1:6" x14ac:dyDescent="0.25">
      <c r="A116" s="5" t="s">
        <v>136</v>
      </c>
      <c r="B116" s="5" t="s">
        <v>326</v>
      </c>
      <c r="C116" s="5">
        <v>265.58999999999997</v>
      </c>
      <c r="D116" s="5">
        <f>C116/Dados!$B$8*100</f>
        <v>1.3020528204280952</v>
      </c>
      <c r="E116" s="5">
        <f>Dados!$B$3*(C116/Dados!$B$8)</f>
        <v>245.45310210566927</v>
      </c>
      <c r="F116" s="5">
        <f>E116*Dados!$B$4*Dados!$B$5*Dados!$B$6/86400</f>
        <v>0.76704094408021639</v>
      </c>
    </row>
    <row r="117" spans="1:6" x14ac:dyDescent="0.25">
      <c r="A117" s="6" t="s">
        <v>137</v>
      </c>
      <c r="B117" s="6" t="s">
        <v>327</v>
      </c>
      <c r="C117" s="6">
        <v>120.18</v>
      </c>
      <c r="D117" s="6">
        <f>C117/Dados!$B$8*100</f>
        <v>0.58918147505195417</v>
      </c>
      <c r="E117" s="6">
        <f>Dados!$B$3*(C117/Dados!$B$8)</f>
        <v>111.06801389758402</v>
      </c>
      <c r="F117" s="6">
        <f>E117*Dados!$B$4*Dados!$B$5*Dados!$B$6/86400</f>
        <v>0.34708754342995007</v>
      </c>
    </row>
    <row r="118" spans="1:6" x14ac:dyDescent="0.25">
      <c r="A118" s="5" t="s">
        <v>138</v>
      </c>
      <c r="B118" s="5" t="s">
        <v>328</v>
      </c>
      <c r="C118" s="5">
        <v>158.22999999999999</v>
      </c>
      <c r="D118" s="5">
        <f>C118/Dados!$B$8*100</f>
        <v>0.77572129137519308</v>
      </c>
      <c r="E118" s="5">
        <f>Dados!$B$3*(C118/Dados!$B$8)</f>
        <v>146.23308236823695</v>
      </c>
      <c r="F118" s="5">
        <f>E118*Dados!$B$4*Dados!$B$5*Dados!$B$6/86400</f>
        <v>0.45697838240074051</v>
      </c>
    </row>
    <row r="119" spans="1:6" x14ac:dyDescent="0.25">
      <c r="A119" s="6" t="s">
        <v>139</v>
      </c>
      <c r="B119" s="6" t="s">
        <v>329</v>
      </c>
      <c r="C119" s="6">
        <v>225.33</v>
      </c>
      <c r="D119" s="6">
        <f>C119/Dados!$B$8*100</f>
        <v>1.104678497033257</v>
      </c>
      <c r="E119" s="6">
        <f>Dados!$B$3*(C119/Dados!$B$8)</f>
        <v>208.24559470413217</v>
      </c>
      <c r="F119" s="6">
        <f>E119*Dados!$B$4*Dados!$B$5*Dados!$B$6/86400</f>
        <v>0.65076748345041302</v>
      </c>
    </row>
    <row r="120" spans="1:6" x14ac:dyDescent="0.25">
      <c r="A120" s="5" t="s">
        <v>140</v>
      </c>
      <c r="B120" s="5" t="s">
        <v>330</v>
      </c>
      <c r="C120" s="5">
        <v>78.02</v>
      </c>
      <c r="D120" s="5">
        <f>C120/Dados!$B$8*100</f>
        <v>0.38249241707067283</v>
      </c>
      <c r="E120" s="5">
        <f>Dados!$B$3*(C120/Dados!$B$8)</f>
        <v>72.104563523793516</v>
      </c>
      <c r="F120" s="5">
        <f>E120*Dados!$B$4*Dados!$B$5*Dados!$B$6/86400</f>
        <v>0.22532676101185475</v>
      </c>
    </row>
    <row r="121" spans="1:6" x14ac:dyDescent="0.25">
      <c r="A121" s="6" t="s">
        <v>141</v>
      </c>
      <c r="B121" s="6" t="s">
        <v>331</v>
      </c>
      <c r="C121" s="6">
        <v>116.66</v>
      </c>
      <c r="D121" s="6">
        <f>C121/Dados!$B$8*100</f>
        <v>0.57192470360759662</v>
      </c>
      <c r="E121" s="6">
        <f>Dados!$B$3*(C121/Dados!$B$8)</f>
        <v>107.8148984963567</v>
      </c>
      <c r="F121" s="6">
        <f>E121*Dados!$B$4*Dados!$B$5*Dados!$B$6/86400</f>
        <v>0.33692155780111471</v>
      </c>
    </row>
    <row r="122" spans="1:6" x14ac:dyDescent="0.25">
      <c r="A122" s="5" t="s">
        <v>142</v>
      </c>
      <c r="B122" s="5" t="s">
        <v>332</v>
      </c>
      <c r="C122" s="5">
        <v>120.51</v>
      </c>
      <c r="D122" s="5">
        <f>C122/Dados!$B$8*100</f>
        <v>0.5907992973748627</v>
      </c>
      <c r="E122" s="5">
        <f>Dados!$B$3*(C122/Dados!$B$8)</f>
        <v>111.37299346644907</v>
      </c>
      <c r="F122" s="5">
        <f>E122*Dados!$B$4*Dados!$B$5*Dados!$B$6/86400</f>
        <v>0.34804060458265329</v>
      </c>
    </row>
    <row r="123" spans="1:6" x14ac:dyDescent="0.25">
      <c r="A123" s="6" t="s">
        <v>143</v>
      </c>
      <c r="B123" s="6" t="s">
        <v>333</v>
      </c>
      <c r="C123" s="6">
        <v>112.4</v>
      </c>
      <c r="D123" s="6">
        <f>C123/Dados!$B$8*100</f>
        <v>0.55104008816641414</v>
      </c>
      <c r="E123" s="6">
        <f>Dados!$B$3*(C123/Dados!$B$8)</f>
        <v>103.87788951646233</v>
      </c>
      <c r="F123" s="6">
        <f>E123*Dados!$B$4*Dados!$B$5*Dados!$B$6/86400</f>
        <v>0.32461840473894477</v>
      </c>
    </row>
    <row r="124" spans="1:6" x14ac:dyDescent="0.25">
      <c r="A124" s="5" t="s">
        <v>144</v>
      </c>
      <c r="B124" s="5" t="s">
        <v>334</v>
      </c>
      <c r="C124" s="5">
        <v>74.36</v>
      </c>
      <c r="D124" s="5">
        <f>C124/Dados!$B$8*100</f>
        <v>0.36454929676205117</v>
      </c>
      <c r="E124" s="5">
        <f>Dados!$B$3*(C124/Dados!$B$8)</f>
        <v>68.722062850926505</v>
      </c>
      <c r="F124" s="5">
        <f>E124*Dados!$B$4*Dados!$B$5*Dados!$B$6/86400</f>
        <v>0.21475644640914535</v>
      </c>
    </row>
    <row r="125" spans="1:6" x14ac:dyDescent="0.25">
      <c r="A125" s="6" t="s">
        <v>145</v>
      </c>
      <c r="B125" s="6" t="s">
        <v>335</v>
      </c>
      <c r="C125" s="6">
        <v>161.1</v>
      </c>
      <c r="D125" s="6">
        <f>C125/Dados!$B$8*100</f>
        <v>0.7897914430926094</v>
      </c>
      <c r="E125" s="6">
        <f>Dados!$B$3*(C125/Dados!$B$8)</f>
        <v>148.88548043685122</v>
      </c>
      <c r="F125" s="6">
        <f>E125*Dados!$B$4*Dados!$B$5*Dados!$B$6/86400</f>
        <v>0.4652671263651601</v>
      </c>
    </row>
    <row r="126" spans="1:6" x14ac:dyDescent="0.25">
      <c r="A126" s="5" t="s">
        <v>146</v>
      </c>
      <c r="B126" s="5" t="s">
        <v>336</v>
      </c>
      <c r="C126" s="5">
        <v>89.51</v>
      </c>
      <c r="D126" s="5">
        <f>C126/Dados!$B$8*100</f>
        <v>0.43882204885921466</v>
      </c>
      <c r="E126" s="5">
        <f>Dados!$B$3*(C126/Dados!$B$8)</f>
        <v>82.723397603367829</v>
      </c>
      <c r="F126" s="5">
        <f>E126*Dados!$B$4*Dados!$B$5*Dados!$B$6/86400</f>
        <v>0.25851061751052445</v>
      </c>
    </row>
    <row r="127" spans="1:6" x14ac:dyDescent="0.25">
      <c r="A127" s="6" t="s">
        <v>147</v>
      </c>
      <c r="B127" s="6" t="s">
        <v>337</v>
      </c>
      <c r="C127" s="6">
        <v>92.58</v>
      </c>
      <c r="D127" s="6">
        <f>C127/Dados!$B$8*100</f>
        <v>0.45387269895415139</v>
      </c>
      <c r="E127" s="6">
        <f>Dados!$B$3*(C127/Dados!$B$8)</f>
        <v>85.560631774324577</v>
      </c>
      <c r="F127" s="6">
        <f>E127*Dados!$B$4*Dados!$B$5*Dados!$B$6/86400</f>
        <v>0.26737697429476426</v>
      </c>
    </row>
    <row r="128" spans="1:6" x14ac:dyDescent="0.25">
      <c r="A128" s="5" t="s">
        <v>148</v>
      </c>
      <c r="B128" s="5" t="s">
        <v>338</v>
      </c>
      <c r="C128" s="5">
        <v>64.81</v>
      </c>
      <c r="D128" s="5">
        <f>C128/Dados!$B$8*100</f>
        <v>0.31773049923545638</v>
      </c>
      <c r="E128" s="5">
        <f>Dados!$B$3*(C128/Dados!$B$8)</f>
        <v>59.896138964074048</v>
      </c>
      <c r="F128" s="5">
        <f>E128*Dados!$B$4*Dados!$B$5*Dados!$B$6/86400</f>
        <v>0.18717543426273139</v>
      </c>
    </row>
    <row r="129" spans="1:6" x14ac:dyDescent="0.25">
      <c r="A129" s="6" t="s">
        <v>149</v>
      </c>
      <c r="B129" s="6" t="s">
        <v>339</v>
      </c>
      <c r="C129" s="6">
        <v>55.63</v>
      </c>
      <c r="D129" s="6">
        <f>C129/Dados!$B$8*100</f>
        <v>0.27272562370727416</v>
      </c>
      <c r="E129" s="6">
        <f>Dados!$B$3*(C129/Dados!$B$8)</f>
        <v>51.412161866555152</v>
      </c>
      <c r="F129" s="6">
        <f>E129*Dados!$B$4*Dados!$B$5*Dados!$B$6/86400</f>
        <v>0.16066300583298487</v>
      </c>
    </row>
    <row r="130" spans="1:6" x14ac:dyDescent="0.25">
      <c r="A130" s="5" t="s">
        <v>150</v>
      </c>
      <c r="B130" s="5" t="s">
        <v>340</v>
      </c>
      <c r="C130" s="5">
        <v>104.28</v>
      </c>
      <c r="D130" s="5">
        <f>C130/Dados!$B$8*100</f>
        <v>0.51123185403908955</v>
      </c>
      <c r="E130" s="5">
        <f>Dados!$B$3*(C130/Dados!$B$8)</f>
        <v>96.373543761358476</v>
      </c>
      <c r="F130" s="5">
        <f>E130*Dados!$B$4*Dados!$B$5*Dados!$B$6/86400</f>
        <v>0.30116732425424525</v>
      </c>
    </row>
    <row r="131" spans="1:6" x14ac:dyDescent="0.25">
      <c r="A131" s="6" t="s">
        <v>151</v>
      </c>
      <c r="B131" s="6" t="s">
        <v>341</v>
      </c>
      <c r="C131" s="6">
        <v>179.9</v>
      </c>
      <c r="D131" s="6">
        <f>C131/Dados!$B$8*100</f>
        <v>0.88195829057951869</v>
      </c>
      <c r="E131" s="6">
        <f>Dados!$B$3*(C131/Dados!$B$8)</f>
        <v>166.26007405704246</v>
      </c>
      <c r="F131" s="6">
        <f>E131*Dados!$B$4*Dados!$B$5*Dados!$B$6/86400</f>
        <v>0.51956273142825771</v>
      </c>
    </row>
    <row r="132" spans="1:6" x14ac:dyDescent="0.25">
      <c r="A132" s="5" t="s">
        <v>152</v>
      </c>
      <c r="B132" s="5" t="s">
        <v>342</v>
      </c>
      <c r="C132" s="5">
        <v>173.14</v>
      </c>
      <c r="D132" s="5">
        <f>C132/Dados!$B$8*100</f>
        <v>0.84881744541933213</v>
      </c>
      <c r="E132" s="5">
        <f>Dados!$B$3*(C132/Dados!$B$8)</f>
        <v>160.01261379786732</v>
      </c>
      <c r="F132" s="5">
        <f>E132*Dados!$B$4*Dados!$B$5*Dados!$B$6/86400</f>
        <v>0.5000394181183353</v>
      </c>
    </row>
    <row r="133" spans="1:6" x14ac:dyDescent="0.25">
      <c r="A133" s="6" t="s">
        <v>153</v>
      </c>
      <c r="B133" s="6" t="s">
        <v>343</v>
      </c>
      <c r="C133" s="6">
        <v>99.24</v>
      </c>
      <c r="D133" s="6">
        <f>C133/Dados!$B$8*100</f>
        <v>0.48652329492557772</v>
      </c>
      <c r="E133" s="6">
        <f>Dados!$B$3*(C133/Dados!$B$8)</f>
        <v>91.715673982328482</v>
      </c>
      <c r="F133" s="6">
        <f>E133*Dados!$B$4*Dados!$B$5*Dados!$B$6/86400</f>
        <v>0.28661148119477647</v>
      </c>
    </row>
    <row r="134" spans="1:6" x14ac:dyDescent="0.25">
      <c r="A134" s="5" t="s">
        <v>154</v>
      </c>
      <c r="B134" s="5" t="s">
        <v>344</v>
      </c>
      <c r="C134" s="5">
        <v>125.22</v>
      </c>
      <c r="D134" s="5">
        <f>C134/Dados!$B$8*100</f>
        <v>0.61389003416546595</v>
      </c>
      <c r="E134" s="5">
        <f>Dados!$B$3*(C134/Dados!$B$8)</f>
        <v>115.72588367661399</v>
      </c>
      <c r="F134" s="5">
        <f>E134*Dados!$B$4*Dados!$B$5*Dados!$B$6/86400</f>
        <v>0.36164338648941868</v>
      </c>
    </row>
    <row r="135" spans="1:6" x14ac:dyDescent="0.25">
      <c r="A135" s="6" t="s">
        <v>155</v>
      </c>
      <c r="B135" s="6" t="s">
        <v>345</v>
      </c>
      <c r="C135" s="6">
        <v>97.24</v>
      </c>
      <c r="D135" s="6">
        <f>C135/Dados!$B$8*100</f>
        <v>0.47671831115037461</v>
      </c>
      <c r="E135" s="6">
        <f>Dados!$B$3*(C135/Dados!$B$8)</f>
        <v>89.867312958903881</v>
      </c>
      <c r="F135" s="6">
        <f>E135*Dados!$B$4*Dados!$B$5*Dados!$B$6/86400</f>
        <v>0.28083535299657458</v>
      </c>
    </row>
    <row r="136" spans="1:6" x14ac:dyDescent="0.25">
      <c r="A136" s="5" t="s">
        <v>156</v>
      </c>
      <c r="B136" s="5" t="s">
        <v>346</v>
      </c>
      <c r="C136" s="5">
        <v>160.1</v>
      </c>
      <c r="D136" s="5">
        <f>C136/Dados!$B$8*100</f>
        <v>0.7848889512050079</v>
      </c>
      <c r="E136" s="5">
        <f>Dados!$B$3*(C136/Dados!$B$8)</f>
        <v>147.96129992513895</v>
      </c>
      <c r="F136" s="5">
        <f>E136*Dados!$B$4*Dados!$B$5*Dados!$B$6/86400</f>
        <v>0.46237906226605918</v>
      </c>
    </row>
    <row r="137" spans="1:6" x14ac:dyDescent="0.25">
      <c r="A137" s="6" t="s">
        <v>157</v>
      </c>
      <c r="B137" s="6" t="s">
        <v>347</v>
      </c>
      <c r="C137" s="6">
        <v>73.92</v>
      </c>
      <c r="D137" s="6">
        <f>C137/Dados!$B$8*100</f>
        <v>0.36239220033150654</v>
      </c>
      <c r="E137" s="6">
        <f>Dados!$B$3*(C137/Dados!$B$8)</f>
        <v>68.315423425773091</v>
      </c>
      <c r="F137" s="6">
        <f>E137*Dados!$B$4*Dados!$B$5*Dados!$B$6/86400</f>
        <v>0.21348569820554092</v>
      </c>
    </row>
    <row r="138" spans="1:6" x14ac:dyDescent="0.25">
      <c r="A138" s="5" t="s">
        <v>158</v>
      </c>
      <c r="B138" s="5" t="s">
        <v>348</v>
      </c>
      <c r="C138" s="5">
        <v>73.33</v>
      </c>
      <c r="D138" s="5">
        <f>C138/Dados!$B$8*100</f>
        <v>0.35949973011782155</v>
      </c>
      <c r="E138" s="5">
        <f>Dados!$B$3*(C138/Dados!$B$8)</f>
        <v>67.770156923862828</v>
      </c>
      <c r="F138" s="5">
        <f>E138*Dados!$B$4*Dados!$B$5*Dados!$B$6/86400</f>
        <v>0.21178174038707132</v>
      </c>
    </row>
    <row r="139" spans="1:6" x14ac:dyDescent="0.25">
      <c r="A139" s="6" t="s">
        <v>159</v>
      </c>
      <c r="B139" s="6" t="s">
        <v>349</v>
      </c>
      <c r="C139" s="6">
        <v>156.16999999999999</v>
      </c>
      <c r="D139" s="6">
        <f>C139/Dados!$B$8*100</f>
        <v>0.76562215808673384</v>
      </c>
      <c r="E139" s="6">
        <f>Dados!$B$3*(C139/Dados!$B$8)</f>
        <v>144.32927051410962</v>
      </c>
      <c r="F139" s="6">
        <f>E139*Dados!$B$4*Dados!$B$5*Dados!$B$6/86400</f>
        <v>0.45102897035659262</v>
      </c>
    </row>
    <row r="140" spans="1:6" x14ac:dyDescent="0.25">
      <c r="A140" s="5" t="s">
        <v>160</v>
      </c>
      <c r="B140" s="5" t="s">
        <v>350</v>
      </c>
      <c r="C140" s="5">
        <v>281.20999999999998</v>
      </c>
      <c r="D140" s="5">
        <f>C140/Dados!$B$8*100</f>
        <v>1.3786297437124313</v>
      </c>
      <c r="E140" s="5">
        <f>Dados!$B$3*(C140/Dados!$B$8)</f>
        <v>259.8888016986154</v>
      </c>
      <c r="F140" s="5">
        <f>E140*Dados!$B$4*Dados!$B$5*Dados!$B$6/86400</f>
        <v>0.81215250530817318</v>
      </c>
    </row>
    <row r="141" spans="1:6" x14ac:dyDescent="0.25">
      <c r="A141" s="6" t="s">
        <v>161</v>
      </c>
      <c r="B141" s="6" t="s">
        <v>351</v>
      </c>
      <c r="C141" s="6">
        <v>176.38</v>
      </c>
      <c r="D141" s="6">
        <f>C141/Dados!$B$8*100</f>
        <v>0.86470151913516113</v>
      </c>
      <c r="E141" s="6">
        <f>Dados!$B$3*(C141/Dados!$B$8)</f>
        <v>163.00695865581517</v>
      </c>
      <c r="F141" s="6">
        <f>E141*Dados!$B$4*Dados!$B$5*Dados!$B$6/86400</f>
        <v>0.5093967457994224</v>
      </c>
    </row>
    <row r="142" spans="1:6" x14ac:dyDescent="0.25">
      <c r="A142" s="5" t="s">
        <v>162</v>
      </c>
      <c r="B142" s="5" t="s">
        <v>352</v>
      </c>
      <c r="C142" s="5">
        <v>88.44</v>
      </c>
      <c r="D142" s="5">
        <f>C142/Dados!$B$8*100</f>
        <v>0.43357638253948094</v>
      </c>
      <c r="E142" s="5">
        <f>Dados!$B$3*(C142/Dados!$B$8)</f>
        <v>81.734524455835654</v>
      </c>
      <c r="F142" s="5">
        <f>E142*Dados!$B$4*Dados!$B$5*Dados!$B$6/86400</f>
        <v>0.25542038892448643</v>
      </c>
    </row>
    <row r="143" spans="1:6" x14ac:dyDescent="0.25">
      <c r="A143" s="6" t="s">
        <v>163</v>
      </c>
      <c r="B143" s="6" t="s">
        <v>353</v>
      </c>
      <c r="C143" s="6">
        <v>20.399999999999999</v>
      </c>
      <c r="D143" s="6">
        <f>C143/Dados!$B$8*100</f>
        <v>0.10001083450707159</v>
      </c>
      <c r="E143" s="6">
        <f>Dados!$B$3*(C143/Dados!$B$8)</f>
        <v>18.853282438930883</v>
      </c>
      <c r="F143" s="6">
        <f>E143*Dados!$B$4*Dados!$B$5*Dados!$B$6/86400</f>
        <v>5.8916507621659009E-2</v>
      </c>
    </row>
    <row r="144" spans="1:6" x14ac:dyDescent="0.25">
      <c r="A144" s="5" t="s">
        <v>164</v>
      </c>
      <c r="B144" s="5" t="s">
        <v>354</v>
      </c>
      <c r="C144" s="5">
        <v>67.790000000000006</v>
      </c>
      <c r="D144" s="5">
        <f>C144/Dados!$B$8*100</f>
        <v>0.33233992506050902</v>
      </c>
      <c r="E144" s="5">
        <f>Dados!$B$3*(C144/Dados!$B$8)</f>
        <v>62.650196888976708</v>
      </c>
      <c r="F144" s="5">
        <f>E144*Dados!$B$4*Dados!$B$5*Dados!$B$6/86400</f>
        <v>0.19578186527805219</v>
      </c>
    </row>
    <row r="145" spans="1:6" x14ac:dyDescent="0.25">
      <c r="A145" s="6" t="s">
        <v>165</v>
      </c>
      <c r="B145" s="6" t="s">
        <v>355</v>
      </c>
      <c r="C145" s="6">
        <v>60.67</v>
      </c>
      <c r="D145" s="6">
        <f>C145/Dados!$B$8*100</f>
        <v>0.29743418282078599</v>
      </c>
      <c r="E145" s="6">
        <f>Dados!$B$3*(C145/Dados!$B$8)</f>
        <v>56.070031645585139</v>
      </c>
      <c r="F145" s="6">
        <f>E145*Dados!$B$4*Dados!$B$5*Dados!$B$6/86400</f>
        <v>0.17521884889245354</v>
      </c>
    </row>
    <row r="146" spans="1:6" x14ac:dyDescent="0.25">
      <c r="A146" s="5" t="s">
        <v>166</v>
      </c>
      <c r="B146" s="5" t="s">
        <v>356</v>
      </c>
      <c r="C146" s="5">
        <v>146.69999999999999</v>
      </c>
      <c r="D146" s="5">
        <f>C146/Dados!$B$8*100</f>
        <v>0.71919555991114714</v>
      </c>
      <c r="E146" s="5">
        <f>Dados!$B$3*(C146/Dados!$B$8)</f>
        <v>135.57728106819414</v>
      </c>
      <c r="F146" s="5">
        <f>E146*Dados!$B$4*Dados!$B$5*Dados!$B$6/86400</f>
        <v>0.42367900333810665</v>
      </c>
    </row>
    <row r="147" spans="1:6" x14ac:dyDescent="0.25">
      <c r="A147" s="6" t="s">
        <v>167</v>
      </c>
      <c r="B147" s="6" t="s">
        <v>357</v>
      </c>
      <c r="C147" s="6">
        <v>64.31</v>
      </c>
      <c r="D147" s="6">
        <f>C147/Dados!$B$8*100</f>
        <v>0.31527925329165563</v>
      </c>
      <c r="E147" s="6">
        <f>Dados!$B$3*(C147/Dados!$B$8)</f>
        <v>59.434048708217901</v>
      </c>
      <c r="F147" s="6">
        <f>E147*Dados!$B$4*Dados!$B$5*Dados!$B$6/86400</f>
        <v>0.18573140221318094</v>
      </c>
    </row>
    <row r="148" spans="1:6" x14ac:dyDescent="0.25">
      <c r="A148" s="5" t="s">
        <v>168</v>
      </c>
      <c r="B148" s="5" t="s">
        <v>358</v>
      </c>
      <c r="C148" s="5">
        <v>137.03</v>
      </c>
      <c r="D148" s="5">
        <f>C148/Dados!$B$8*100</f>
        <v>0.67178846335804021</v>
      </c>
      <c r="E148" s="5">
        <f>Dados!$B$3*(C148/Dados!$B$8)</f>
        <v>126.64045551993622</v>
      </c>
      <c r="F148" s="5">
        <f>E148*Dados!$B$4*Dados!$B$5*Dados!$B$6/86400</f>
        <v>0.39575142349980069</v>
      </c>
    </row>
    <row r="149" spans="1:6" x14ac:dyDescent="0.25">
      <c r="A149" s="6" t="s">
        <v>169</v>
      </c>
      <c r="B149" s="6" t="s">
        <v>359</v>
      </c>
      <c r="C149" s="6">
        <v>53.3</v>
      </c>
      <c r="D149" s="6">
        <f>C149/Dados!$B$8*100</f>
        <v>0.26130281760916257</v>
      </c>
      <c r="E149" s="6">
        <f>Dados!$B$3*(C149/Dados!$B$8)</f>
        <v>49.2588212742655</v>
      </c>
      <c r="F149" s="6">
        <f>E149*Dados!$B$4*Dados!$B$5*Dados!$B$6/86400</f>
        <v>0.15393381648207971</v>
      </c>
    </row>
    <row r="150" spans="1:6" x14ac:dyDescent="0.25">
      <c r="A150" s="5" t="s">
        <v>170</v>
      </c>
      <c r="B150" s="5" t="s">
        <v>360</v>
      </c>
      <c r="C150" s="5">
        <v>48.63</v>
      </c>
      <c r="D150" s="5">
        <f>C150/Dados!$B$8*100</f>
        <v>0.23840818049406334</v>
      </c>
      <c r="E150" s="5">
        <f>Dados!$B$3*(C150/Dados!$B$8)</f>
        <v>44.942898284569068</v>
      </c>
      <c r="F150" s="5">
        <f>E150*Dados!$B$4*Dados!$B$5*Dados!$B$6/86400</f>
        <v>0.14044655713927834</v>
      </c>
    </row>
    <row r="151" spans="1:6" x14ac:dyDescent="0.25">
      <c r="A151" s="6" t="s">
        <v>171</v>
      </c>
      <c r="B151" s="6" t="s">
        <v>361</v>
      </c>
      <c r="C151" s="6">
        <v>49.85</v>
      </c>
      <c r="D151" s="6">
        <f>C151/Dados!$B$8*100</f>
        <v>0.24438922059693721</v>
      </c>
      <c r="E151" s="6">
        <f>Dados!$B$3*(C151/Dados!$B$8)</f>
        <v>46.070398508858069</v>
      </c>
      <c r="F151" s="6">
        <f>E151*Dados!$B$4*Dados!$B$5*Dados!$B$6/86400</f>
        <v>0.14396999534018146</v>
      </c>
    </row>
    <row r="152" spans="1:6" x14ac:dyDescent="0.25">
      <c r="A152" s="5" t="s">
        <v>172</v>
      </c>
      <c r="B152" s="5" t="s">
        <v>362</v>
      </c>
      <c r="C152" s="5">
        <v>69.55</v>
      </c>
      <c r="D152" s="5">
        <f>C152/Dados!$B$8*100</f>
        <v>0.34096831078268769</v>
      </c>
      <c r="E152" s="5">
        <f>Dados!$B$3*(C152/Dados!$B$8)</f>
        <v>64.27675458959034</v>
      </c>
      <c r="F152" s="5">
        <f>E152*Dados!$B$4*Dados!$B$5*Dados!$B$6/86400</f>
        <v>0.20086485809246979</v>
      </c>
    </row>
    <row r="153" spans="1:6" x14ac:dyDescent="0.25">
      <c r="A153" s="6" t="s">
        <v>173</v>
      </c>
      <c r="B153" s="6" t="s">
        <v>363</v>
      </c>
      <c r="C153" s="6">
        <v>71.959999999999994</v>
      </c>
      <c r="D153" s="6">
        <f>C153/Dados!$B$8*100</f>
        <v>0.35278331623180742</v>
      </c>
      <c r="E153" s="6">
        <f>Dados!$B$3*(C153/Dados!$B$8)</f>
        <v>66.504029622816972</v>
      </c>
      <c r="F153" s="6">
        <f>E153*Dados!$B$4*Dados!$B$5*Dados!$B$6/86400</f>
        <v>0.20782509257130305</v>
      </c>
    </row>
    <row r="154" spans="1:6" x14ac:dyDescent="0.25">
      <c r="A154" s="5" t="s">
        <v>174</v>
      </c>
      <c r="B154" s="5" t="s">
        <v>364</v>
      </c>
      <c r="C154" s="5">
        <v>133.28</v>
      </c>
      <c r="D154" s="5">
        <f>C154/Dados!$B$8*100</f>
        <v>0.65340411877953442</v>
      </c>
      <c r="E154" s="5">
        <f>Dados!$B$3*(C154/Dados!$B$8)</f>
        <v>123.17477860101512</v>
      </c>
      <c r="F154" s="5">
        <f>E154*Dados!$B$4*Dados!$B$5*Dados!$B$6/86400</f>
        <v>0.38492118312817225</v>
      </c>
    </row>
    <row r="155" spans="1:6" x14ac:dyDescent="0.25">
      <c r="A155" s="6" t="s">
        <v>175</v>
      </c>
      <c r="B155" s="6" t="s">
        <v>365</v>
      </c>
      <c r="C155" s="6">
        <v>116.58</v>
      </c>
      <c r="D155" s="6">
        <f>C155/Dados!$B$8*100</f>
        <v>0.57153250425658852</v>
      </c>
      <c r="E155" s="6">
        <f>Dados!$B$3*(C155/Dados!$B$8)</f>
        <v>107.74096405541972</v>
      </c>
      <c r="F155" s="6">
        <f>E155*Dados!$B$4*Dados!$B$5*Dados!$B$6/86400</f>
        <v>0.33669051267318661</v>
      </c>
    </row>
    <row r="156" spans="1:6" x14ac:dyDescent="0.25">
      <c r="A156" s="5" t="s">
        <v>176</v>
      </c>
      <c r="B156" s="5" t="s">
        <v>366</v>
      </c>
      <c r="C156" s="5">
        <v>31.73</v>
      </c>
      <c r="D156" s="5">
        <f>C156/Dados!$B$8*100</f>
        <v>0.15555606759359714</v>
      </c>
      <c r="E156" s="5">
        <f>Dados!$B$3*(C156/Dados!$B$8)</f>
        <v>29.324247636631224</v>
      </c>
      <c r="F156" s="5">
        <f>E156*Dados!$B$4*Dados!$B$5*Dados!$B$6/86400</f>
        <v>9.1638273864472583E-2</v>
      </c>
    </row>
    <row r="157" spans="1:6" x14ac:dyDescent="0.25">
      <c r="A157" s="6" t="s">
        <v>177</v>
      </c>
      <c r="B157" s="6" t="s">
        <v>367</v>
      </c>
      <c r="C157" s="6">
        <v>62.4</v>
      </c>
      <c r="D157" s="6">
        <f>C157/Dados!$B$8*100</f>
        <v>0.30591549378633665</v>
      </c>
      <c r="E157" s="6">
        <f>Dados!$B$3*(C157/Dados!$B$8)</f>
        <v>57.668863930847415</v>
      </c>
      <c r="F157" s="6">
        <f>E157*Dados!$B$4*Dados!$B$5*Dados!$B$6/86400</f>
        <v>0.18021519978389816</v>
      </c>
    </row>
    <row r="158" spans="1:6" x14ac:dyDescent="0.25">
      <c r="A158" s="5" t="s">
        <v>178</v>
      </c>
      <c r="B158" s="5" t="s">
        <v>368</v>
      </c>
      <c r="C158" s="5">
        <v>28.65</v>
      </c>
      <c r="D158" s="5">
        <f>C158/Dados!$B$8*100</f>
        <v>0.14045639257978437</v>
      </c>
      <c r="E158" s="5">
        <f>Dados!$B$3*(C158/Dados!$B$8)</f>
        <v>26.477771660557345</v>
      </c>
      <c r="F158" s="5">
        <f>E158*Dados!$B$4*Dados!$B$5*Dados!$B$6/86400</f>
        <v>8.2743036439241704E-2</v>
      </c>
    </row>
    <row r="159" spans="1:6" x14ac:dyDescent="0.25">
      <c r="A159" s="6" t="s">
        <v>179</v>
      </c>
      <c r="B159" s="6" t="s">
        <v>369</v>
      </c>
      <c r="C159" s="6">
        <v>26.67</v>
      </c>
      <c r="D159" s="6">
        <f>C159/Dados!$B$8*100</f>
        <v>0.13074945864233331</v>
      </c>
      <c r="E159" s="6">
        <f>Dados!$B$3*(C159/Dados!$B$8)</f>
        <v>24.647894247366995</v>
      </c>
      <c r="F159" s="6">
        <f>E159*Dados!$B$4*Dados!$B$5*Dados!$B$6/86400</f>
        <v>7.7024669523021852E-2</v>
      </c>
    </row>
    <row r="160" spans="1:6" x14ac:dyDescent="0.25">
      <c r="A160" s="5" t="s">
        <v>180</v>
      </c>
      <c r="B160" s="5" t="s">
        <v>370</v>
      </c>
      <c r="C160" s="5">
        <v>21.35</v>
      </c>
      <c r="D160" s="5">
        <f>C160/Dados!$B$8*100</f>
        <v>0.10466820180029307</v>
      </c>
      <c r="E160" s="5">
        <f>Dados!$B$3*(C160/Dados!$B$8)</f>
        <v>19.731253925057569</v>
      </c>
      <c r="F160" s="5">
        <f>E160*Dados!$B$4*Dados!$B$5*Dados!$B$6/86400</f>
        <v>6.1660168515804907E-2</v>
      </c>
    </row>
    <row r="161" spans="1:6" x14ac:dyDescent="0.25">
      <c r="A161" s="6" t="s">
        <v>181</v>
      </c>
      <c r="B161" s="6" t="s">
        <v>371</v>
      </c>
      <c r="C161" s="6">
        <v>48.84</v>
      </c>
      <c r="D161" s="6">
        <f>C161/Dados!$B$8*100</f>
        <v>0.23943770379045967</v>
      </c>
      <c r="E161" s="6">
        <f>Dados!$B$3*(C161/Dados!$B$8)</f>
        <v>45.136976192028655</v>
      </c>
      <c r="F161" s="6">
        <f>E161*Dados!$B$4*Dados!$B$5*Dados!$B$6/86400</f>
        <v>0.14105305060008955</v>
      </c>
    </row>
    <row r="162" spans="1:6" x14ac:dyDescent="0.25">
      <c r="A162" s="5" t="s">
        <v>182</v>
      </c>
      <c r="B162" s="5" t="s">
        <v>372</v>
      </c>
      <c r="C162" s="5">
        <v>45.4</v>
      </c>
      <c r="D162" s="5">
        <f>C162/Dados!$B$8*100</f>
        <v>0.22257313169711029</v>
      </c>
      <c r="E162" s="5">
        <f>Dados!$B$3*(C162/Dados!$B$8)</f>
        <v>41.957795231738338</v>
      </c>
      <c r="F162" s="5">
        <f>E162*Dados!$B$4*Dados!$B$5*Dados!$B$6/86400</f>
        <v>0.13111811009918231</v>
      </c>
    </row>
    <row r="163" spans="1:6" x14ac:dyDescent="0.25">
      <c r="A163" s="6" t="s">
        <v>183</v>
      </c>
      <c r="B163" s="6" t="s">
        <v>373</v>
      </c>
      <c r="C163" s="6">
        <v>15.18</v>
      </c>
      <c r="D163" s="6">
        <f>C163/Dados!$B$8*100</f>
        <v>7.4419826853791504E-2</v>
      </c>
      <c r="E163" s="6">
        <f>Dados!$B$3*(C163/Dados!$B$8)</f>
        <v>14.029060167792688</v>
      </c>
      <c r="F163" s="6">
        <f>E163*Dados!$B$4*Dados!$B$5*Dados!$B$6/86400</f>
        <v>4.3840813024352152E-2</v>
      </c>
    </row>
    <row r="164" spans="1:6" x14ac:dyDescent="0.25">
      <c r="A164" s="5" t="s">
        <v>184</v>
      </c>
      <c r="B164" s="5" t="s">
        <v>374</v>
      </c>
      <c r="C164" s="5">
        <v>37.6</v>
      </c>
      <c r="D164" s="5">
        <f>C164/Dados!$B$8*100</f>
        <v>0.18433369497381824</v>
      </c>
      <c r="E164" s="5">
        <f>Dados!$B$3*(C164/Dados!$B$8)</f>
        <v>34.749187240382419</v>
      </c>
      <c r="F164" s="5">
        <f>E164*Dados!$B$4*Dados!$B$5*Dados!$B$6/86400</f>
        <v>0.10859121012619506</v>
      </c>
    </row>
    <row r="165" spans="1:6" x14ac:dyDescent="0.25">
      <c r="A165" s="6" t="s">
        <v>185</v>
      </c>
      <c r="B165" s="6" t="s">
        <v>375</v>
      </c>
      <c r="C165" s="6">
        <v>123.05</v>
      </c>
      <c r="D165" s="6">
        <f>C165/Dados!$B$8*100</f>
        <v>0.60325162676937061</v>
      </c>
      <c r="E165" s="6">
        <f>Dados!$B$3*(C165/Dados!$B$8)</f>
        <v>113.7204119661983</v>
      </c>
      <c r="F165" s="6">
        <f>E165*Dados!$B$4*Dados!$B$5*Dados!$B$6/86400</f>
        <v>0.35537628739436966</v>
      </c>
    </row>
    <row r="166" spans="1:6" x14ac:dyDescent="0.25">
      <c r="A166" s="5" t="s">
        <v>186</v>
      </c>
      <c r="B166" s="5" t="s">
        <v>376</v>
      </c>
      <c r="C166" s="5">
        <v>156.04</v>
      </c>
      <c r="D166" s="5">
        <f>C166/Dados!$B$8*100</f>
        <v>0.76498483414134566</v>
      </c>
      <c r="E166" s="5">
        <f>Dados!$B$3*(C166/Dados!$B$8)</f>
        <v>144.20912704758703</v>
      </c>
      <c r="F166" s="5">
        <f>E166*Dados!$B$4*Dados!$B$5*Dados!$B$6/86400</f>
        <v>0.45065352202370951</v>
      </c>
    </row>
    <row r="167" spans="1:6" x14ac:dyDescent="0.25">
      <c r="A167" s="6" t="s">
        <v>187</v>
      </c>
      <c r="B167" s="6" t="s">
        <v>377</v>
      </c>
      <c r="C167" s="6">
        <v>132.41999999999999</v>
      </c>
      <c r="D167" s="6">
        <f>C167/Dados!$B$8*100</f>
        <v>0.64918797575619702</v>
      </c>
      <c r="E167" s="6">
        <f>Dados!$B$3*(C167/Dados!$B$8)</f>
        <v>122.37998336094253</v>
      </c>
      <c r="F167" s="6">
        <f>E167*Dados!$B$4*Dados!$B$5*Dados!$B$6/86400</f>
        <v>0.38243744800294543</v>
      </c>
    </row>
    <row r="168" spans="1:6" x14ac:dyDescent="0.25">
      <c r="A168" s="5" t="s">
        <v>188</v>
      </c>
      <c r="B168" s="5" t="s">
        <v>378</v>
      </c>
      <c r="C168" s="5">
        <v>118.31</v>
      </c>
      <c r="D168" s="5">
        <f>C168/Dados!$B$8*100</f>
        <v>0.58001381522213924</v>
      </c>
      <c r="E168" s="5">
        <f>Dados!$B$3*(C168/Dados!$B$8)</f>
        <v>109.33979634068201</v>
      </c>
      <c r="F168" s="5">
        <f>E168*Dados!$B$4*Dados!$B$5*Dados!$B$6/86400</f>
        <v>0.34168686356463129</v>
      </c>
    </row>
    <row r="169" spans="1:6" x14ac:dyDescent="0.25">
      <c r="A169" s="6" t="s">
        <v>189</v>
      </c>
      <c r="B169" s="6" t="s">
        <v>379</v>
      </c>
      <c r="C169" s="6">
        <v>15.38</v>
      </c>
      <c r="D169" s="6">
        <f>C169/Dados!$B$8*100</f>
        <v>7.5400325231311821E-2</v>
      </c>
      <c r="E169" s="6">
        <f>Dados!$B$3*(C169/Dados!$B$8)</f>
        <v>14.213896270135148</v>
      </c>
      <c r="F169" s="6">
        <f>E169*Dados!$B$4*Dados!$B$5*Dados!$B$6/86400</f>
        <v>4.4418425844172348E-2</v>
      </c>
    </row>
    <row r="170" spans="1:6" x14ac:dyDescent="0.25">
      <c r="A170" s="5" t="s">
        <v>190</v>
      </c>
      <c r="B170" s="5" t="s">
        <v>380</v>
      </c>
      <c r="C170" s="5">
        <v>10.08</v>
      </c>
      <c r="D170" s="5">
        <f>C170/Dados!$B$8*100</f>
        <v>4.9417118227023604E-2</v>
      </c>
      <c r="E170" s="5">
        <f>Dados!$B$3*(C170/Dados!$B$8)</f>
        <v>9.3157395580599651</v>
      </c>
      <c r="F170" s="5">
        <f>E170*Dados!$B$4*Dados!$B$5*Dados!$B$6/86400</f>
        <v>2.9111686118937385E-2</v>
      </c>
    </row>
    <row r="171" spans="1:6" x14ac:dyDescent="0.25">
      <c r="A171" s="6" t="s">
        <v>191</v>
      </c>
      <c r="B171" s="6" t="s">
        <v>381</v>
      </c>
      <c r="C171" s="6">
        <v>15.86</v>
      </c>
      <c r="D171" s="6">
        <f>C171/Dados!$B$8*100</f>
        <v>7.7753521337360562E-2</v>
      </c>
      <c r="E171" s="6">
        <f>Dados!$B$3*(C171/Dados!$B$8)</f>
        <v>14.65750291575705</v>
      </c>
      <c r="F171" s="6">
        <f>E171*Dados!$B$4*Dados!$B$5*Dados!$B$6/86400</f>
        <v>4.5804696611740782E-2</v>
      </c>
    </row>
    <row r="172" spans="1:6" x14ac:dyDescent="0.25">
      <c r="A172" s="5" t="s">
        <v>192</v>
      </c>
      <c r="B172" s="5" t="s">
        <v>382</v>
      </c>
      <c r="C172" s="5">
        <v>129.54</v>
      </c>
      <c r="D172" s="5">
        <f>C172/Dados!$B$8*100</f>
        <v>0.63506879911990466</v>
      </c>
      <c r="E172" s="5">
        <f>Dados!$B$3*(C172/Dados!$B$8)</f>
        <v>119.71834348721111</v>
      </c>
      <c r="F172" s="5">
        <f>E172*Dados!$B$4*Dados!$B$5*Dados!$B$6/86400</f>
        <v>0.37411982339753475</v>
      </c>
    </row>
    <row r="173" spans="1:6" x14ac:dyDescent="0.25">
      <c r="A173" s="6" t="s">
        <v>193</v>
      </c>
      <c r="B173" s="6" t="s">
        <v>383</v>
      </c>
      <c r="C173" s="6">
        <v>41.96</v>
      </c>
      <c r="D173" s="6">
        <f>C173/Dados!$B$8*100</f>
        <v>0.205708559603761</v>
      </c>
      <c r="E173" s="6">
        <f>Dados!$B$3*(C173/Dados!$B$8)</f>
        <v>38.778614271448042</v>
      </c>
      <c r="F173" s="6">
        <f>E173*Dados!$B$4*Dados!$B$5*Dados!$B$6/86400</f>
        <v>0.12118316959827513</v>
      </c>
    </row>
    <row r="174" spans="1:6" x14ac:dyDescent="0.25">
      <c r="A174" s="5" t="s">
        <v>194</v>
      </c>
      <c r="B174" s="5" t="s">
        <v>384</v>
      </c>
      <c r="C174" s="5">
        <v>17.93</v>
      </c>
      <c r="D174" s="5">
        <f>C174/Dados!$B$8*100</f>
        <v>8.7901679544695771E-2</v>
      </c>
      <c r="E174" s="5">
        <f>Dados!$B$3*(C174/Dados!$B$8)</f>
        <v>16.570556575001508</v>
      </c>
      <c r="F174" s="5">
        <f>E174*Dados!$B$4*Dados!$B$5*Dados!$B$6/86400</f>
        <v>5.178298929687971E-2</v>
      </c>
    </row>
    <row r="175" spans="1:6" x14ac:dyDescent="0.25">
      <c r="A175" s="6" t="s">
        <v>195</v>
      </c>
      <c r="B175" s="6" t="s">
        <v>385</v>
      </c>
      <c r="C175" s="6">
        <v>90.78</v>
      </c>
      <c r="D175" s="6">
        <f>C175/Dados!$B$8*100</f>
        <v>0.44504821355646856</v>
      </c>
      <c r="E175" s="6">
        <f>Dados!$B$3*(C175/Dados!$B$8)</f>
        <v>83.897106853242434</v>
      </c>
      <c r="F175" s="6">
        <f>E175*Dados!$B$4*Dados!$B$5*Dados!$B$6/86400</f>
        <v>0.26217845891638264</v>
      </c>
    </row>
    <row r="176" spans="1:6" x14ac:dyDescent="0.25">
      <c r="A176" s="5" t="s">
        <v>196</v>
      </c>
      <c r="B176" s="5" t="s">
        <v>386</v>
      </c>
      <c r="C176" s="5">
        <v>82.23</v>
      </c>
      <c r="D176" s="5">
        <f>C176/Dados!$B$8*100</f>
        <v>0.40313190791747538</v>
      </c>
      <c r="E176" s="5">
        <f>Dados!$B$3*(C176/Dados!$B$8)</f>
        <v>75.995363478102291</v>
      </c>
      <c r="F176" s="5">
        <f>E176*Dados!$B$4*Dados!$B$5*Dados!$B$6/86400</f>
        <v>0.23748551086906963</v>
      </c>
    </row>
    <row r="177" spans="1:6" x14ac:dyDescent="0.25">
      <c r="A177" s="6" t="s">
        <v>198</v>
      </c>
      <c r="B177" s="6" t="s">
        <v>387</v>
      </c>
      <c r="C177" s="6">
        <v>30.99</v>
      </c>
      <c r="D177" s="6">
        <f>C177/Dados!$B$8*100</f>
        <v>0.15192822359677199</v>
      </c>
      <c r="E177" s="6">
        <f>Dados!$B$3*(C177/Dados!$B$8)</f>
        <v>28.640354057964121</v>
      </c>
      <c r="F177" s="6">
        <f>E177*Dados!$B$4*Dados!$B$5*Dados!$B$6/86400</f>
        <v>8.9501106431137886E-2</v>
      </c>
    </row>
    <row r="178" spans="1:6" x14ac:dyDescent="0.25">
      <c r="A178" s="5" t="s">
        <v>199</v>
      </c>
      <c r="B178" s="5" t="s">
        <v>388</v>
      </c>
      <c r="C178" s="5">
        <v>34.32</v>
      </c>
      <c r="D178" s="5">
        <f>C178/Dados!$B$8*100</f>
        <v>0.16825352158248513</v>
      </c>
      <c r="E178" s="5">
        <f>Dados!$B$3*(C178/Dados!$B$8)</f>
        <v>31.717875161966074</v>
      </c>
      <c r="F178" s="5">
        <f>E178*Dados!$B$4*Dados!$B$5*Dados!$B$6/86400</f>
        <v>9.9118359881143966E-2</v>
      </c>
    </row>
    <row r="179" spans="1:6" x14ac:dyDescent="0.25">
      <c r="A179" s="6" t="s">
        <v>200</v>
      </c>
      <c r="B179" s="6" t="s">
        <v>389</v>
      </c>
      <c r="C179" s="6">
        <v>18</v>
      </c>
      <c r="D179" s="6">
        <f>C179/Dados!$B$8*100</f>
        <v>8.8244853976827881E-2</v>
      </c>
      <c r="E179" s="6">
        <f>Dados!$B$3*(C179/Dados!$B$8)</f>
        <v>16.635249210821367</v>
      </c>
      <c r="F179" s="6">
        <f>E179*Dados!$B$4*Dados!$B$5*Dados!$B$6/86400</f>
        <v>5.1985153783816768E-2</v>
      </c>
    </row>
    <row r="180" spans="1:6" x14ac:dyDescent="0.25">
      <c r="A180" s="5" t="s">
        <v>201</v>
      </c>
      <c r="B180" s="5" t="s">
        <v>390</v>
      </c>
      <c r="C180" s="5">
        <v>88.83</v>
      </c>
      <c r="D180" s="5">
        <f>C180/Dados!$B$8*100</f>
        <v>0.43548835437564559</v>
      </c>
      <c r="E180" s="5">
        <f>Dados!$B$3*(C180/Dados!$B$8)</f>
        <v>82.094954855403458</v>
      </c>
      <c r="F180" s="5">
        <f>E180*Dados!$B$4*Dados!$B$5*Dados!$B$6/86400</f>
        <v>0.25654673392313582</v>
      </c>
    </row>
    <row r="181" spans="1:6" x14ac:dyDescent="0.25">
      <c r="A181" s="6" t="s">
        <v>202</v>
      </c>
      <c r="B181" s="6" t="s">
        <v>391</v>
      </c>
      <c r="C181" s="6">
        <v>75.03</v>
      </c>
      <c r="D181" s="6">
        <f>C181/Dados!$B$8*100</f>
        <v>0.3678339663267442</v>
      </c>
      <c r="E181" s="6">
        <f>Dados!$B$3*(C181/Dados!$B$8)</f>
        <v>69.341263793773734</v>
      </c>
      <c r="F181" s="6">
        <f>E181*Dados!$B$4*Dados!$B$5*Dados!$B$6/86400</f>
        <v>0.21669144935554291</v>
      </c>
    </row>
    <row r="182" spans="1:6" x14ac:dyDescent="0.25">
      <c r="A182" s="5" t="s">
        <v>203</v>
      </c>
      <c r="B182" s="5" t="s">
        <v>392</v>
      </c>
      <c r="C182" s="5">
        <v>71.94</v>
      </c>
      <c r="D182" s="5">
        <f>C182/Dados!$B$8*100</f>
        <v>0.3526852663940554</v>
      </c>
      <c r="E182" s="5">
        <f>Dados!$B$3*(C182/Dados!$B$8)</f>
        <v>66.485546012582731</v>
      </c>
      <c r="F182" s="5">
        <f>E182*Dados!$B$4*Dados!$B$5*Dados!$B$6/86400</f>
        <v>0.20776733128932107</v>
      </c>
    </row>
    <row r="183" spans="1:6" x14ac:dyDescent="0.25">
      <c r="A183" s="6" t="s">
        <v>204</v>
      </c>
      <c r="B183" s="6" t="s">
        <v>393</v>
      </c>
      <c r="C183" s="6">
        <v>113.67</v>
      </c>
      <c r="D183" s="6">
        <f>C183/Dados!$B$8*100</f>
        <v>0.55726625286366804</v>
      </c>
      <c r="E183" s="6">
        <f>Dados!$B$3*(C183/Dados!$B$8)</f>
        <v>105.05159876633694</v>
      </c>
      <c r="F183" s="6">
        <f>E183*Dados!$B$4*Dados!$B$5*Dados!$B$6/86400</f>
        <v>0.3282862461448029</v>
      </c>
    </row>
    <row r="184" spans="1:6" x14ac:dyDescent="0.25">
      <c r="A184" s="5" t="s">
        <v>205</v>
      </c>
      <c r="B184" s="5" t="s">
        <v>394</v>
      </c>
      <c r="C184" s="5">
        <v>160.29</v>
      </c>
      <c r="D184" s="5">
        <f>C184/Dados!$B$8*100</f>
        <v>0.78582042466365221</v>
      </c>
      <c r="E184" s="5">
        <f>Dados!$B$3*(C184/Dados!$B$8)</f>
        <v>148.1368942223643</v>
      </c>
      <c r="F184" s="5">
        <f>E184*Dados!$B$4*Dados!$B$5*Dados!$B$6/86400</f>
        <v>0.46292779444488846</v>
      </c>
    </row>
    <row r="185" spans="1:6" x14ac:dyDescent="0.25">
      <c r="A185" s="6" t="s">
        <v>206</v>
      </c>
      <c r="B185" s="6" t="s">
        <v>395</v>
      </c>
      <c r="C185" s="6">
        <v>42.49</v>
      </c>
      <c r="D185" s="6">
        <f>C185/Dados!$B$8*100</f>
        <v>0.20830688030418981</v>
      </c>
      <c r="E185" s="6">
        <f>Dados!$B$3*(C185/Dados!$B$8)</f>
        <v>39.268429942655558</v>
      </c>
      <c r="F185" s="6">
        <f>E185*Dados!$B$4*Dados!$B$5*Dados!$B$6/86400</f>
        <v>0.12271384357079863</v>
      </c>
    </row>
    <row r="186" spans="1:6" x14ac:dyDescent="0.25">
      <c r="A186" s="5" t="s">
        <v>207</v>
      </c>
      <c r="B186" s="5" t="s">
        <v>396</v>
      </c>
      <c r="C186" s="5">
        <v>57.72</v>
      </c>
      <c r="D186" s="5">
        <f>C186/Dados!$B$8*100</f>
        <v>0.2829718317523614</v>
      </c>
      <c r="E186" s="5">
        <f>Dados!$B$3*(C186/Dados!$B$8)</f>
        <v>53.343699136033855</v>
      </c>
      <c r="F186" s="5">
        <f>E186*Dados!$B$4*Dados!$B$5*Dados!$B$6/86400</f>
        <v>0.1666990598001058</v>
      </c>
    </row>
    <row r="187" spans="1:6" x14ac:dyDescent="0.25">
      <c r="A187" s="6" t="s">
        <v>208</v>
      </c>
      <c r="B187" s="6" t="s">
        <v>397</v>
      </c>
      <c r="C187" s="6">
        <v>28.2</v>
      </c>
      <c r="D187" s="6">
        <f>C187/Dados!$B$8*100</f>
        <v>0.13825027123036368</v>
      </c>
      <c r="E187" s="6">
        <f>Dados!$B$3*(C187/Dados!$B$8)</f>
        <v>26.061890430286812</v>
      </c>
      <c r="F187" s="6">
        <f>E187*Dados!$B$4*Dados!$B$5*Dados!$B$6/86400</f>
        <v>8.1443407594646286E-2</v>
      </c>
    </row>
    <row r="188" spans="1:6" x14ac:dyDescent="0.25">
      <c r="A188" s="5" t="s">
        <v>209</v>
      </c>
      <c r="B188" s="5" t="s">
        <v>398</v>
      </c>
      <c r="C188" s="5">
        <v>33.840000000000003</v>
      </c>
      <c r="D188" s="5">
        <f>C188/Dados!$B$8*100</f>
        <v>0.16590032547643643</v>
      </c>
      <c r="E188" s="5">
        <f>Dados!$B$3*(C188/Dados!$B$8)</f>
        <v>31.274268516344179</v>
      </c>
      <c r="F188" s="5">
        <f>E188*Dados!$B$4*Dados!$B$5*Dados!$B$6/86400</f>
        <v>9.7732089113575574E-2</v>
      </c>
    </row>
    <row r="189" spans="1:6" x14ac:dyDescent="0.25">
      <c r="A189" s="9" t="s">
        <v>210</v>
      </c>
      <c r="B189" s="9"/>
      <c r="C189" s="9">
        <v>20397.79</v>
      </c>
      <c r="D189" s="9">
        <f>SUM(D6:D188)</f>
        <v>99.61368363925699</v>
      </c>
      <c r="E189" s="9">
        <f>SUM(E6:E188)</f>
        <v>18778.414575677056</v>
      </c>
      <c r="F189" s="9">
        <f>SUM(F6:F188)</f>
        <v>58.682545548990859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55"/>
  <sheetViews>
    <sheetView tabSelected="1" topLeftCell="A33" workbookViewId="0">
      <selection sqref="A1:E1"/>
    </sheetView>
  </sheetViews>
  <sheetFormatPr defaultRowHeight="15" x14ac:dyDescent="0.25"/>
  <cols>
    <col min="1" max="1" width="10" customWidth="1"/>
    <col min="2" max="3" width="12" customWidth="1"/>
    <col min="4" max="4" width="18" customWidth="1"/>
    <col min="5" max="5" width="14" customWidth="1"/>
  </cols>
  <sheetData>
    <row r="1" spans="1:5" ht="15.75" x14ac:dyDescent="0.25">
      <c r="A1" s="13" t="s">
        <v>399</v>
      </c>
      <c r="B1" s="14"/>
      <c r="C1" s="14"/>
      <c r="D1" s="14"/>
      <c r="E1" s="14"/>
    </row>
    <row r="3" spans="1:5" x14ac:dyDescent="0.25">
      <c r="A3" s="4" t="s">
        <v>400</v>
      </c>
      <c r="B3" s="4" t="s">
        <v>401</v>
      </c>
      <c r="C3" s="4" t="s">
        <v>402</v>
      </c>
      <c r="D3" s="4" t="s">
        <v>403</v>
      </c>
      <c r="E3" s="4" t="s">
        <v>404</v>
      </c>
    </row>
    <row r="4" spans="1:5" x14ac:dyDescent="0.25">
      <c r="A4" s="5" t="s">
        <v>405</v>
      </c>
      <c r="B4" s="5" t="s">
        <v>27</v>
      </c>
      <c r="C4" s="5" t="s">
        <v>28</v>
      </c>
      <c r="D4" s="5">
        <v>42.41</v>
      </c>
      <c r="E4" s="5">
        <f t="shared" ref="E4:E67" si="0">D4/2</f>
        <v>21.204999999999998</v>
      </c>
    </row>
    <row r="5" spans="1:5" x14ac:dyDescent="0.25">
      <c r="A5" s="6" t="s">
        <v>406</v>
      </c>
      <c r="B5" s="6" t="s">
        <v>31</v>
      </c>
      <c r="C5" s="6" t="s">
        <v>33</v>
      </c>
      <c r="D5" s="6">
        <v>65.459999999999994</v>
      </c>
      <c r="E5" s="6">
        <f t="shared" si="0"/>
        <v>32.729999999999997</v>
      </c>
    </row>
    <row r="6" spans="1:5" x14ac:dyDescent="0.25">
      <c r="A6" s="5" t="s">
        <v>407</v>
      </c>
      <c r="B6" s="5" t="s">
        <v>33</v>
      </c>
      <c r="C6" s="5" t="s">
        <v>64</v>
      </c>
      <c r="D6" s="5">
        <v>54.18</v>
      </c>
      <c r="E6" s="5">
        <f t="shared" si="0"/>
        <v>27.09</v>
      </c>
    </row>
    <row r="7" spans="1:5" x14ac:dyDescent="0.25">
      <c r="A7" s="6" t="s">
        <v>408</v>
      </c>
      <c r="B7" s="6" t="s">
        <v>64</v>
      </c>
      <c r="C7" s="6" t="s">
        <v>35</v>
      </c>
      <c r="D7" s="6">
        <v>221.82</v>
      </c>
      <c r="E7" s="6">
        <f t="shared" si="0"/>
        <v>110.91</v>
      </c>
    </row>
    <row r="8" spans="1:5" x14ac:dyDescent="0.25">
      <c r="A8" s="5" t="s">
        <v>409</v>
      </c>
      <c r="B8" s="5" t="s">
        <v>35</v>
      </c>
      <c r="C8" s="5" t="s">
        <v>34</v>
      </c>
      <c r="D8" s="5">
        <v>52.91</v>
      </c>
      <c r="E8" s="5">
        <f t="shared" si="0"/>
        <v>26.454999999999998</v>
      </c>
    </row>
    <row r="9" spans="1:5" x14ac:dyDescent="0.25">
      <c r="A9" s="6" t="s">
        <v>410</v>
      </c>
      <c r="B9" s="6" t="s">
        <v>34</v>
      </c>
      <c r="C9" s="6" t="s">
        <v>33</v>
      </c>
      <c r="D9" s="6">
        <v>198.32</v>
      </c>
      <c r="E9" s="6">
        <f t="shared" si="0"/>
        <v>99.16</v>
      </c>
    </row>
    <row r="10" spans="1:5" x14ac:dyDescent="0.25">
      <c r="A10" s="5" t="s">
        <v>379</v>
      </c>
      <c r="B10" s="5" t="s">
        <v>34</v>
      </c>
      <c r="C10" s="5" t="s">
        <v>189</v>
      </c>
      <c r="D10" s="5">
        <v>30.76</v>
      </c>
      <c r="E10" s="5">
        <f t="shared" si="0"/>
        <v>15.38</v>
      </c>
    </row>
    <row r="11" spans="1:5" x14ac:dyDescent="0.25">
      <c r="A11" s="6" t="s">
        <v>411</v>
      </c>
      <c r="B11" s="6" t="s">
        <v>26</v>
      </c>
      <c r="C11" s="6" t="s">
        <v>32</v>
      </c>
      <c r="D11" s="6">
        <v>72.88</v>
      </c>
      <c r="E11" s="6">
        <f t="shared" si="0"/>
        <v>36.44</v>
      </c>
    </row>
    <row r="12" spans="1:5" x14ac:dyDescent="0.25">
      <c r="A12" s="5" t="s">
        <v>412</v>
      </c>
      <c r="B12" s="5" t="s">
        <v>26</v>
      </c>
      <c r="C12" s="5" t="s">
        <v>50</v>
      </c>
      <c r="D12" s="5">
        <v>139.57</v>
      </c>
      <c r="E12" s="5">
        <f t="shared" si="0"/>
        <v>69.784999999999997</v>
      </c>
    </row>
    <row r="13" spans="1:5" x14ac:dyDescent="0.25">
      <c r="A13" s="6" t="s">
        <v>384</v>
      </c>
      <c r="B13" s="6" t="s">
        <v>50</v>
      </c>
      <c r="C13" s="6" t="s">
        <v>194</v>
      </c>
      <c r="D13" s="6">
        <v>35.86</v>
      </c>
      <c r="E13" s="6">
        <f t="shared" si="0"/>
        <v>17.93</v>
      </c>
    </row>
    <row r="14" spans="1:5" x14ac:dyDescent="0.25">
      <c r="A14" s="5" t="s">
        <v>413</v>
      </c>
      <c r="B14" s="5" t="s">
        <v>50</v>
      </c>
      <c r="C14" s="5" t="s">
        <v>48</v>
      </c>
      <c r="D14" s="5">
        <v>165.52</v>
      </c>
      <c r="E14" s="5">
        <f t="shared" si="0"/>
        <v>82.76</v>
      </c>
    </row>
    <row r="15" spans="1:5" x14ac:dyDescent="0.25">
      <c r="A15" s="6" t="s">
        <v>414</v>
      </c>
      <c r="B15" s="6" t="s">
        <v>47</v>
      </c>
      <c r="C15" s="6" t="s">
        <v>46</v>
      </c>
      <c r="D15" s="6">
        <v>6.77</v>
      </c>
      <c r="E15" s="6">
        <f t="shared" si="0"/>
        <v>3.3849999999999998</v>
      </c>
    </row>
    <row r="16" spans="1:5" x14ac:dyDescent="0.25">
      <c r="A16" s="5" t="s">
        <v>415</v>
      </c>
      <c r="B16" s="5" t="s">
        <v>46</v>
      </c>
      <c r="C16" s="5" t="s">
        <v>187</v>
      </c>
      <c r="D16" s="5">
        <v>70.709999999999994</v>
      </c>
      <c r="E16" s="5">
        <f t="shared" si="0"/>
        <v>35.354999999999997</v>
      </c>
    </row>
    <row r="17" spans="1:5" x14ac:dyDescent="0.25">
      <c r="A17" s="6" t="s">
        <v>416</v>
      </c>
      <c r="B17" s="6" t="s">
        <v>187</v>
      </c>
      <c r="C17" s="6" t="s">
        <v>188</v>
      </c>
      <c r="D17" s="6">
        <v>115.97</v>
      </c>
      <c r="E17" s="6">
        <f t="shared" si="0"/>
        <v>57.984999999999999</v>
      </c>
    </row>
    <row r="18" spans="1:5" x14ac:dyDescent="0.25">
      <c r="A18" s="5" t="s">
        <v>417</v>
      </c>
      <c r="B18" s="5" t="s">
        <v>188</v>
      </c>
      <c r="C18" s="5" t="s">
        <v>41</v>
      </c>
      <c r="D18" s="5">
        <v>58.1</v>
      </c>
      <c r="E18" s="5">
        <f t="shared" si="0"/>
        <v>29.05</v>
      </c>
    </row>
    <row r="19" spans="1:5" x14ac:dyDescent="0.25">
      <c r="A19" s="6" t="s">
        <v>418</v>
      </c>
      <c r="B19" s="6" t="s">
        <v>41</v>
      </c>
      <c r="C19" s="6" t="s">
        <v>36</v>
      </c>
      <c r="D19" s="6">
        <v>137.16999999999999</v>
      </c>
      <c r="E19" s="6">
        <f t="shared" si="0"/>
        <v>68.584999999999994</v>
      </c>
    </row>
    <row r="20" spans="1:5" x14ac:dyDescent="0.25">
      <c r="A20" s="5" t="s">
        <v>419</v>
      </c>
      <c r="B20" s="5" t="s">
        <v>36</v>
      </c>
      <c r="C20" s="5" t="s">
        <v>35</v>
      </c>
      <c r="D20" s="5">
        <v>65.7</v>
      </c>
      <c r="E20" s="5">
        <f t="shared" si="0"/>
        <v>32.85</v>
      </c>
    </row>
    <row r="21" spans="1:5" x14ac:dyDescent="0.25">
      <c r="A21" s="6" t="s">
        <v>420</v>
      </c>
      <c r="B21" s="6" t="s">
        <v>64</v>
      </c>
      <c r="C21" s="6" t="s">
        <v>65</v>
      </c>
      <c r="D21" s="6">
        <v>67.989999999999995</v>
      </c>
      <c r="E21" s="6">
        <f t="shared" si="0"/>
        <v>33.994999999999997</v>
      </c>
    </row>
    <row r="22" spans="1:5" x14ac:dyDescent="0.25">
      <c r="A22" s="5" t="s">
        <v>421</v>
      </c>
      <c r="B22" s="5" t="s">
        <v>65</v>
      </c>
      <c r="C22" s="5" t="s">
        <v>36</v>
      </c>
      <c r="D22" s="5">
        <v>252.17</v>
      </c>
      <c r="E22" s="5">
        <f t="shared" si="0"/>
        <v>126.08499999999999</v>
      </c>
    </row>
    <row r="23" spans="1:5" x14ac:dyDescent="0.25">
      <c r="A23" s="6" t="s">
        <v>422</v>
      </c>
      <c r="B23" s="6" t="s">
        <v>36</v>
      </c>
      <c r="C23" s="6" t="s">
        <v>37</v>
      </c>
      <c r="D23" s="6">
        <v>58.3</v>
      </c>
      <c r="E23" s="6">
        <f t="shared" si="0"/>
        <v>29.15</v>
      </c>
    </row>
    <row r="24" spans="1:5" x14ac:dyDescent="0.25">
      <c r="A24" s="5" t="s">
        <v>423</v>
      </c>
      <c r="B24" s="5" t="s">
        <v>37</v>
      </c>
      <c r="C24" s="5" t="s">
        <v>38</v>
      </c>
      <c r="D24" s="5">
        <v>58.39</v>
      </c>
      <c r="E24" s="5">
        <f t="shared" si="0"/>
        <v>29.195</v>
      </c>
    </row>
    <row r="25" spans="1:5" x14ac:dyDescent="0.25">
      <c r="A25" s="6" t="s">
        <v>424</v>
      </c>
      <c r="B25" s="6" t="s">
        <v>38</v>
      </c>
      <c r="C25" s="6" t="s">
        <v>68</v>
      </c>
      <c r="D25" s="6">
        <v>166.54</v>
      </c>
      <c r="E25" s="6">
        <f t="shared" si="0"/>
        <v>83.27</v>
      </c>
    </row>
    <row r="26" spans="1:5" x14ac:dyDescent="0.25">
      <c r="A26" s="5" t="s">
        <v>425</v>
      </c>
      <c r="B26" s="5" t="s">
        <v>68</v>
      </c>
      <c r="C26" s="5" t="s">
        <v>69</v>
      </c>
      <c r="D26" s="5">
        <v>130.18</v>
      </c>
      <c r="E26" s="5">
        <f t="shared" si="0"/>
        <v>65.09</v>
      </c>
    </row>
    <row r="27" spans="1:5" x14ac:dyDescent="0.25">
      <c r="A27" s="6" t="s">
        <v>426</v>
      </c>
      <c r="B27" s="6" t="s">
        <v>69</v>
      </c>
      <c r="C27" s="6" t="s">
        <v>66</v>
      </c>
      <c r="D27" s="6">
        <v>61.12</v>
      </c>
      <c r="E27" s="6">
        <f t="shared" si="0"/>
        <v>30.56</v>
      </c>
    </row>
    <row r="28" spans="1:5" x14ac:dyDescent="0.25">
      <c r="A28" s="5" t="s">
        <v>427</v>
      </c>
      <c r="B28" s="5" t="s">
        <v>66</v>
      </c>
      <c r="C28" s="5" t="s">
        <v>65</v>
      </c>
      <c r="D28" s="5">
        <v>64.58</v>
      </c>
      <c r="E28" s="5">
        <f t="shared" si="0"/>
        <v>32.29</v>
      </c>
    </row>
    <row r="29" spans="1:5" x14ac:dyDescent="0.25">
      <c r="A29" s="6" t="s">
        <v>428</v>
      </c>
      <c r="B29" s="6" t="s">
        <v>68</v>
      </c>
      <c r="C29" s="6" t="s">
        <v>67</v>
      </c>
      <c r="D29" s="6">
        <v>59.09</v>
      </c>
      <c r="E29" s="6">
        <f t="shared" si="0"/>
        <v>29.545000000000002</v>
      </c>
    </row>
    <row r="30" spans="1:5" x14ac:dyDescent="0.25">
      <c r="A30" s="5" t="s">
        <v>429</v>
      </c>
      <c r="B30" s="5" t="s">
        <v>67</v>
      </c>
      <c r="C30" s="5" t="s">
        <v>66</v>
      </c>
      <c r="D30" s="5">
        <v>108.95</v>
      </c>
      <c r="E30" s="5">
        <f t="shared" si="0"/>
        <v>54.475000000000001</v>
      </c>
    </row>
    <row r="31" spans="1:5" x14ac:dyDescent="0.25">
      <c r="A31" s="6" t="s">
        <v>430</v>
      </c>
      <c r="B31" s="6" t="s">
        <v>67</v>
      </c>
      <c r="C31" s="6" t="s">
        <v>37</v>
      </c>
      <c r="D31" s="6">
        <v>165.47</v>
      </c>
      <c r="E31" s="6">
        <f t="shared" si="0"/>
        <v>82.734999999999999</v>
      </c>
    </row>
    <row r="32" spans="1:5" x14ac:dyDescent="0.25">
      <c r="A32" s="5" t="s">
        <v>431</v>
      </c>
      <c r="B32" s="5" t="s">
        <v>40</v>
      </c>
      <c r="C32" s="5" t="s">
        <v>42</v>
      </c>
      <c r="D32" s="5">
        <v>44.36</v>
      </c>
      <c r="E32" s="5">
        <f t="shared" si="0"/>
        <v>22.18</v>
      </c>
    </row>
    <row r="33" spans="1:5" x14ac:dyDescent="0.25">
      <c r="A33" s="6" t="s">
        <v>389</v>
      </c>
      <c r="B33" s="6" t="s">
        <v>68</v>
      </c>
      <c r="C33" s="6" t="s">
        <v>200</v>
      </c>
      <c r="D33" s="6">
        <v>36</v>
      </c>
      <c r="E33" s="6">
        <f t="shared" si="0"/>
        <v>18</v>
      </c>
    </row>
    <row r="34" spans="1:5" x14ac:dyDescent="0.25">
      <c r="A34" s="5" t="s">
        <v>432</v>
      </c>
      <c r="B34" s="5" t="s">
        <v>53</v>
      </c>
      <c r="C34" s="5" t="s">
        <v>54</v>
      </c>
      <c r="D34" s="5">
        <v>26.85</v>
      </c>
      <c r="E34" s="5">
        <f t="shared" si="0"/>
        <v>13.425000000000001</v>
      </c>
    </row>
    <row r="35" spans="1:5" x14ac:dyDescent="0.25">
      <c r="A35" s="6" t="s">
        <v>433</v>
      </c>
      <c r="B35" s="6" t="s">
        <v>54</v>
      </c>
      <c r="C35" s="6" t="s">
        <v>55</v>
      </c>
      <c r="D35" s="6">
        <v>42.93</v>
      </c>
      <c r="E35" s="6">
        <f t="shared" si="0"/>
        <v>21.465</v>
      </c>
    </row>
    <row r="36" spans="1:5" x14ac:dyDescent="0.25">
      <c r="A36" s="5" t="s">
        <v>434</v>
      </c>
      <c r="B36" s="5" t="s">
        <v>55</v>
      </c>
      <c r="C36" s="5" t="s">
        <v>49</v>
      </c>
      <c r="D36" s="5">
        <v>26.39</v>
      </c>
      <c r="E36" s="5">
        <f t="shared" si="0"/>
        <v>13.195</v>
      </c>
    </row>
    <row r="37" spans="1:5" x14ac:dyDescent="0.25">
      <c r="A37" s="6" t="s">
        <v>381</v>
      </c>
      <c r="B37" s="6" t="s">
        <v>55</v>
      </c>
      <c r="C37" s="6" t="s">
        <v>191</v>
      </c>
      <c r="D37" s="6">
        <v>31.71</v>
      </c>
      <c r="E37" s="6">
        <f t="shared" si="0"/>
        <v>15.855</v>
      </c>
    </row>
    <row r="38" spans="1:5" x14ac:dyDescent="0.25">
      <c r="A38" s="5" t="s">
        <v>435</v>
      </c>
      <c r="B38" s="5" t="s">
        <v>55</v>
      </c>
      <c r="C38" s="5" t="s">
        <v>192</v>
      </c>
      <c r="D38" s="5">
        <v>175.15</v>
      </c>
      <c r="E38" s="5">
        <f t="shared" si="0"/>
        <v>87.575000000000003</v>
      </c>
    </row>
    <row r="39" spans="1:5" x14ac:dyDescent="0.25">
      <c r="A39" s="6" t="s">
        <v>383</v>
      </c>
      <c r="B39" s="6" t="s">
        <v>192</v>
      </c>
      <c r="C39" s="6" t="s">
        <v>193</v>
      </c>
      <c r="D39" s="6">
        <v>83.93</v>
      </c>
      <c r="E39" s="6">
        <f t="shared" si="0"/>
        <v>41.965000000000003</v>
      </c>
    </row>
    <row r="40" spans="1:5" x14ac:dyDescent="0.25">
      <c r="A40" s="5" t="s">
        <v>436</v>
      </c>
      <c r="B40" s="5" t="s">
        <v>27</v>
      </c>
      <c r="C40" s="5" t="s">
        <v>196</v>
      </c>
      <c r="D40" s="5">
        <v>27.22</v>
      </c>
      <c r="E40" s="5">
        <f t="shared" si="0"/>
        <v>13.61</v>
      </c>
    </row>
    <row r="41" spans="1:5" x14ac:dyDescent="0.25">
      <c r="A41" s="6" t="s">
        <v>437</v>
      </c>
      <c r="B41" s="6" t="s">
        <v>196</v>
      </c>
      <c r="C41" s="6" t="s">
        <v>51</v>
      </c>
      <c r="D41" s="6">
        <v>137.25</v>
      </c>
      <c r="E41" s="6">
        <f t="shared" si="0"/>
        <v>68.625</v>
      </c>
    </row>
    <row r="42" spans="1:5" x14ac:dyDescent="0.25">
      <c r="A42" s="5" t="s">
        <v>438</v>
      </c>
      <c r="B42" s="5" t="s">
        <v>51</v>
      </c>
      <c r="C42" s="5" t="s">
        <v>54</v>
      </c>
      <c r="D42" s="5">
        <v>90.81</v>
      </c>
      <c r="E42" s="5">
        <f t="shared" si="0"/>
        <v>45.405000000000001</v>
      </c>
    </row>
    <row r="43" spans="1:5" x14ac:dyDescent="0.25">
      <c r="A43" s="6" t="s">
        <v>439</v>
      </c>
      <c r="B43" s="6" t="s">
        <v>27</v>
      </c>
      <c r="C43" s="6" t="s">
        <v>52</v>
      </c>
      <c r="D43" s="6">
        <v>138.65</v>
      </c>
      <c r="E43" s="6">
        <f t="shared" si="0"/>
        <v>69.325000000000003</v>
      </c>
    </row>
    <row r="44" spans="1:5" x14ac:dyDescent="0.25">
      <c r="A44" s="5" t="s">
        <v>440</v>
      </c>
      <c r="B44" s="5" t="s">
        <v>52</v>
      </c>
      <c r="C44" s="5" t="s">
        <v>53</v>
      </c>
      <c r="D44" s="5">
        <v>91.58</v>
      </c>
      <c r="E44" s="5">
        <f t="shared" si="0"/>
        <v>45.79</v>
      </c>
    </row>
    <row r="45" spans="1:5" x14ac:dyDescent="0.25">
      <c r="A45" s="6" t="s">
        <v>441</v>
      </c>
      <c r="B45" s="6" t="s">
        <v>52</v>
      </c>
      <c r="C45" s="6" t="s">
        <v>51</v>
      </c>
      <c r="D45" s="6">
        <v>26.94</v>
      </c>
      <c r="E45" s="6">
        <f t="shared" si="0"/>
        <v>13.47</v>
      </c>
    </row>
    <row r="46" spans="1:5" x14ac:dyDescent="0.25">
      <c r="A46" s="5" t="s">
        <v>380</v>
      </c>
      <c r="B46" s="5" t="s">
        <v>51</v>
      </c>
      <c r="C46" s="5" t="s">
        <v>190</v>
      </c>
      <c r="D46" s="5">
        <v>20.16</v>
      </c>
      <c r="E46" s="5">
        <f t="shared" si="0"/>
        <v>10.08</v>
      </c>
    </row>
    <row r="47" spans="1:5" x14ac:dyDescent="0.25">
      <c r="A47" s="6" t="s">
        <v>442</v>
      </c>
      <c r="B47" s="6" t="s">
        <v>28</v>
      </c>
      <c r="C47" s="6" t="s">
        <v>29</v>
      </c>
      <c r="D47" s="6">
        <v>72.180000000000007</v>
      </c>
      <c r="E47" s="6">
        <f t="shared" si="0"/>
        <v>36.090000000000003</v>
      </c>
    </row>
    <row r="48" spans="1:5" x14ac:dyDescent="0.25">
      <c r="A48" s="5" t="s">
        <v>443</v>
      </c>
      <c r="B48" s="5" t="s">
        <v>29</v>
      </c>
      <c r="C48" s="5" t="s">
        <v>30</v>
      </c>
      <c r="D48" s="5">
        <v>117.2</v>
      </c>
      <c r="E48" s="5">
        <f t="shared" si="0"/>
        <v>58.6</v>
      </c>
    </row>
    <row r="49" spans="1:5" x14ac:dyDescent="0.25">
      <c r="A49" s="6" t="s">
        <v>444</v>
      </c>
      <c r="B49" s="6" t="s">
        <v>30</v>
      </c>
      <c r="C49" s="6" t="s">
        <v>63</v>
      </c>
      <c r="D49" s="6">
        <v>116.65</v>
      </c>
      <c r="E49" s="6">
        <f t="shared" si="0"/>
        <v>58.325000000000003</v>
      </c>
    </row>
    <row r="50" spans="1:5" x14ac:dyDescent="0.25">
      <c r="A50" s="5" t="s">
        <v>445</v>
      </c>
      <c r="B50" s="5" t="s">
        <v>63</v>
      </c>
      <c r="C50" s="5" t="s">
        <v>71</v>
      </c>
      <c r="D50" s="5">
        <v>213.33</v>
      </c>
      <c r="E50" s="5">
        <f t="shared" si="0"/>
        <v>106.66500000000001</v>
      </c>
    </row>
    <row r="51" spans="1:5" x14ac:dyDescent="0.25">
      <c r="A51" s="6" t="s">
        <v>446</v>
      </c>
      <c r="B51" s="6" t="s">
        <v>71</v>
      </c>
      <c r="C51" s="6" t="s">
        <v>161</v>
      </c>
      <c r="D51" s="6">
        <v>70.98</v>
      </c>
      <c r="E51" s="6">
        <f t="shared" si="0"/>
        <v>35.49</v>
      </c>
    </row>
    <row r="52" spans="1:5" x14ac:dyDescent="0.25">
      <c r="A52" s="5" t="s">
        <v>447</v>
      </c>
      <c r="B52" s="5" t="s">
        <v>161</v>
      </c>
      <c r="C52" s="5" t="s">
        <v>138</v>
      </c>
      <c r="D52" s="5">
        <v>210.28</v>
      </c>
      <c r="E52" s="5">
        <f t="shared" si="0"/>
        <v>105.14</v>
      </c>
    </row>
    <row r="53" spans="1:5" x14ac:dyDescent="0.25">
      <c r="A53" s="6" t="s">
        <v>448</v>
      </c>
      <c r="B53" s="6" t="s">
        <v>138</v>
      </c>
      <c r="C53" s="6" t="s">
        <v>140</v>
      </c>
      <c r="D53" s="6">
        <v>36.36</v>
      </c>
      <c r="E53" s="6">
        <f t="shared" si="0"/>
        <v>18.18</v>
      </c>
    </row>
    <row r="54" spans="1:5" x14ac:dyDescent="0.25">
      <c r="A54" s="5" t="s">
        <v>449</v>
      </c>
      <c r="B54" s="5" t="s">
        <v>140</v>
      </c>
      <c r="C54" s="5" t="s">
        <v>142</v>
      </c>
      <c r="D54" s="5">
        <v>91.34</v>
      </c>
      <c r="E54" s="5">
        <f t="shared" si="0"/>
        <v>45.67</v>
      </c>
    </row>
    <row r="55" spans="1:5" x14ac:dyDescent="0.25">
      <c r="A55" s="6" t="s">
        <v>450</v>
      </c>
      <c r="B55" s="6" t="s">
        <v>159</v>
      </c>
      <c r="C55" s="6" t="s">
        <v>145</v>
      </c>
      <c r="D55" s="6">
        <v>85.41</v>
      </c>
      <c r="E55" s="6">
        <f t="shared" si="0"/>
        <v>42.704999999999998</v>
      </c>
    </row>
    <row r="56" spans="1:5" x14ac:dyDescent="0.25">
      <c r="A56" s="5" t="s">
        <v>451</v>
      </c>
      <c r="B56" s="5" t="s">
        <v>147</v>
      </c>
      <c r="C56" s="5" t="s">
        <v>146</v>
      </c>
      <c r="D56" s="5">
        <v>46.71</v>
      </c>
      <c r="E56" s="5">
        <f t="shared" si="0"/>
        <v>23.355</v>
      </c>
    </row>
    <row r="57" spans="1:5" x14ac:dyDescent="0.25">
      <c r="A57" s="6" t="s">
        <v>452</v>
      </c>
      <c r="B57" s="6" t="s">
        <v>145</v>
      </c>
      <c r="C57" s="6" t="s">
        <v>144</v>
      </c>
      <c r="D57" s="6">
        <v>43.74</v>
      </c>
      <c r="E57" s="6">
        <f t="shared" si="0"/>
        <v>21.87</v>
      </c>
    </row>
    <row r="58" spans="1:5" x14ac:dyDescent="0.25">
      <c r="A58" s="5" t="s">
        <v>453</v>
      </c>
      <c r="B58" s="5" t="s">
        <v>143</v>
      </c>
      <c r="C58" s="5" t="s">
        <v>134</v>
      </c>
      <c r="D58" s="5">
        <v>114.28</v>
      </c>
      <c r="E58" s="5">
        <f t="shared" si="0"/>
        <v>57.14</v>
      </c>
    </row>
    <row r="59" spans="1:5" x14ac:dyDescent="0.25">
      <c r="A59" s="6" t="s">
        <v>454</v>
      </c>
      <c r="B59" s="6" t="s">
        <v>147</v>
      </c>
      <c r="C59" s="6" t="s">
        <v>148</v>
      </c>
      <c r="D59" s="6">
        <v>54.6</v>
      </c>
      <c r="E59" s="6">
        <f t="shared" si="0"/>
        <v>27.3</v>
      </c>
    </row>
    <row r="60" spans="1:5" x14ac:dyDescent="0.25">
      <c r="A60" s="5" t="s">
        <v>455</v>
      </c>
      <c r="B60" s="5" t="s">
        <v>74</v>
      </c>
      <c r="C60" s="5" t="s">
        <v>73</v>
      </c>
      <c r="D60" s="5">
        <v>34.08</v>
      </c>
      <c r="E60" s="5">
        <f t="shared" si="0"/>
        <v>17.04</v>
      </c>
    </row>
    <row r="61" spans="1:5" x14ac:dyDescent="0.25">
      <c r="A61" s="6" t="s">
        <v>456</v>
      </c>
      <c r="B61" s="6" t="s">
        <v>75</v>
      </c>
      <c r="C61" s="6" t="s">
        <v>76</v>
      </c>
      <c r="D61" s="6">
        <v>59.13</v>
      </c>
      <c r="E61" s="6">
        <f t="shared" si="0"/>
        <v>29.565000000000001</v>
      </c>
    </row>
    <row r="62" spans="1:5" x14ac:dyDescent="0.25">
      <c r="A62" s="5" t="s">
        <v>457</v>
      </c>
      <c r="B62" s="5" t="s">
        <v>76</v>
      </c>
      <c r="C62" s="5" t="s">
        <v>149</v>
      </c>
      <c r="D62" s="5">
        <v>51.93</v>
      </c>
      <c r="E62" s="5">
        <f t="shared" si="0"/>
        <v>25.965</v>
      </c>
    </row>
    <row r="63" spans="1:5" x14ac:dyDescent="0.25">
      <c r="A63" s="6" t="s">
        <v>458</v>
      </c>
      <c r="B63" s="6" t="s">
        <v>149</v>
      </c>
      <c r="C63" s="6" t="s">
        <v>148</v>
      </c>
      <c r="D63" s="6">
        <v>25.23</v>
      </c>
      <c r="E63" s="6">
        <f t="shared" si="0"/>
        <v>12.615</v>
      </c>
    </row>
    <row r="64" spans="1:5" x14ac:dyDescent="0.25">
      <c r="A64" s="5" t="s">
        <v>459</v>
      </c>
      <c r="B64" s="5" t="s">
        <v>69</v>
      </c>
      <c r="C64" s="5" t="s">
        <v>70</v>
      </c>
      <c r="D64" s="5">
        <v>34.6</v>
      </c>
      <c r="E64" s="5">
        <f t="shared" si="0"/>
        <v>17.3</v>
      </c>
    </row>
    <row r="65" spans="1:5" x14ac:dyDescent="0.25">
      <c r="A65" s="6" t="s">
        <v>460</v>
      </c>
      <c r="B65" s="6" t="s">
        <v>70</v>
      </c>
      <c r="C65" s="6" t="s">
        <v>71</v>
      </c>
      <c r="D65" s="6">
        <v>37.76</v>
      </c>
      <c r="E65" s="6">
        <f t="shared" si="0"/>
        <v>18.88</v>
      </c>
    </row>
    <row r="66" spans="1:5" x14ac:dyDescent="0.25">
      <c r="A66" s="5" t="s">
        <v>461</v>
      </c>
      <c r="B66" s="5" t="s">
        <v>70</v>
      </c>
      <c r="C66" s="5" t="s">
        <v>72</v>
      </c>
      <c r="D66" s="5">
        <v>269.98</v>
      </c>
      <c r="E66" s="5">
        <f t="shared" si="0"/>
        <v>134.99</v>
      </c>
    </row>
    <row r="67" spans="1:5" x14ac:dyDescent="0.25">
      <c r="A67" s="6" t="s">
        <v>462</v>
      </c>
      <c r="B67" s="6" t="s">
        <v>149</v>
      </c>
      <c r="C67" s="6" t="s">
        <v>150</v>
      </c>
      <c r="D67" s="6">
        <v>34.090000000000003</v>
      </c>
      <c r="E67" s="6">
        <f t="shared" si="0"/>
        <v>17.045000000000002</v>
      </c>
    </row>
    <row r="68" spans="1:5" x14ac:dyDescent="0.25">
      <c r="A68" s="5" t="s">
        <v>367</v>
      </c>
      <c r="B68" s="5" t="s">
        <v>150</v>
      </c>
      <c r="C68" s="5" t="s">
        <v>177</v>
      </c>
      <c r="D68" s="5">
        <v>124.8</v>
      </c>
      <c r="E68" s="5">
        <f t="shared" ref="E68:E131" si="1">D68/2</f>
        <v>62.4</v>
      </c>
    </row>
    <row r="69" spans="1:5" x14ac:dyDescent="0.25">
      <c r="A69" s="6" t="s">
        <v>463</v>
      </c>
      <c r="B69" s="6" t="s">
        <v>150</v>
      </c>
      <c r="C69" s="6" t="s">
        <v>151</v>
      </c>
      <c r="D69" s="6">
        <v>49.66</v>
      </c>
      <c r="E69" s="6">
        <f t="shared" si="1"/>
        <v>24.83</v>
      </c>
    </row>
    <row r="70" spans="1:5" x14ac:dyDescent="0.25">
      <c r="A70" s="5" t="s">
        <v>464</v>
      </c>
      <c r="B70" s="5" t="s">
        <v>151</v>
      </c>
      <c r="C70" s="5" t="s">
        <v>152</v>
      </c>
      <c r="D70" s="5">
        <v>66.900000000000006</v>
      </c>
      <c r="E70" s="5">
        <f t="shared" si="1"/>
        <v>33.450000000000003</v>
      </c>
    </row>
    <row r="71" spans="1:5" x14ac:dyDescent="0.25">
      <c r="A71" s="6" t="s">
        <v>465</v>
      </c>
      <c r="B71" s="6" t="s">
        <v>141</v>
      </c>
      <c r="C71" s="6" t="s">
        <v>140</v>
      </c>
      <c r="D71" s="6">
        <v>28.35</v>
      </c>
      <c r="E71" s="6">
        <f t="shared" si="1"/>
        <v>14.175000000000001</v>
      </c>
    </row>
    <row r="72" spans="1:5" x14ac:dyDescent="0.25">
      <c r="A72" s="5" t="s">
        <v>466</v>
      </c>
      <c r="B72" s="5" t="s">
        <v>74</v>
      </c>
      <c r="C72" s="5" t="s">
        <v>208</v>
      </c>
      <c r="D72" s="5">
        <v>19.809999999999999</v>
      </c>
      <c r="E72" s="5">
        <f t="shared" si="1"/>
        <v>9.9049999999999994</v>
      </c>
    </row>
    <row r="73" spans="1:5" x14ac:dyDescent="0.25">
      <c r="A73" s="6" t="s">
        <v>467</v>
      </c>
      <c r="B73" s="6" t="s">
        <v>208</v>
      </c>
      <c r="C73" s="6" t="s">
        <v>207</v>
      </c>
      <c r="D73" s="6">
        <v>36.590000000000003</v>
      </c>
      <c r="E73" s="6">
        <f t="shared" si="1"/>
        <v>18.295000000000002</v>
      </c>
    </row>
    <row r="74" spans="1:5" x14ac:dyDescent="0.25">
      <c r="A74" s="5" t="s">
        <v>468</v>
      </c>
      <c r="B74" s="5" t="s">
        <v>207</v>
      </c>
      <c r="C74" s="5" t="s">
        <v>159</v>
      </c>
      <c r="D74" s="5">
        <v>78.86</v>
      </c>
      <c r="E74" s="5">
        <f t="shared" si="1"/>
        <v>39.43</v>
      </c>
    </row>
    <row r="75" spans="1:5" x14ac:dyDescent="0.25">
      <c r="A75" s="6" t="s">
        <v>469</v>
      </c>
      <c r="B75" s="6" t="s">
        <v>159</v>
      </c>
      <c r="C75" s="6" t="s">
        <v>142</v>
      </c>
      <c r="D75" s="6">
        <v>64.260000000000005</v>
      </c>
      <c r="E75" s="6">
        <f t="shared" si="1"/>
        <v>32.130000000000003</v>
      </c>
    </row>
    <row r="76" spans="1:5" x14ac:dyDescent="0.25">
      <c r="A76" s="5" t="s">
        <v>470</v>
      </c>
      <c r="B76" s="5" t="s">
        <v>56</v>
      </c>
      <c r="C76" s="5" t="s">
        <v>204</v>
      </c>
      <c r="D76" s="5">
        <v>53.43</v>
      </c>
      <c r="E76" s="5">
        <f t="shared" si="1"/>
        <v>26.715</v>
      </c>
    </row>
    <row r="77" spans="1:5" x14ac:dyDescent="0.25">
      <c r="A77" s="6" t="s">
        <v>471</v>
      </c>
      <c r="B77" s="6" t="s">
        <v>59</v>
      </c>
      <c r="C77" s="6" t="s">
        <v>29</v>
      </c>
      <c r="D77" s="6">
        <v>62.55</v>
      </c>
      <c r="E77" s="6">
        <f t="shared" si="1"/>
        <v>31.274999999999999</v>
      </c>
    </row>
    <row r="78" spans="1:5" x14ac:dyDescent="0.25">
      <c r="A78" s="5" t="s">
        <v>472</v>
      </c>
      <c r="B78" s="5" t="s">
        <v>141</v>
      </c>
      <c r="C78" s="5" t="s">
        <v>72</v>
      </c>
      <c r="D78" s="5">
        <v>121.16</v>
      </c>
      <c r="E78" s="5">
        <f t="shared" si="1"/>
        <v>60.58</v>
      </c>
    </row>
    <row r="79" spans="1:5" x14ac:dyDescent="0.25">
      <c r="A79" s="6" t="s">
        <v>473</v>
      </c>
      <c r="B79" s="6" t="s">
        <v>141</v>
      </c>
      <c r="C79" s="6" t="s">
        <v>159</v>
      </c>
      <c r="D79" s="6">
        <v>83.82</v>
      </c>
      <c r="E79" s="6">
        <f t="shared" si="1"/>
        <v>41.91</v>
      </c>
    </row>
    <row r="80" spans="1:5" x14ac:dyDescent="0.25">
      <c r="A80" s="5" t="s">
        <v>474</v>
      </c>
      <c r="B80" s="5" t="s">
        <v>156</v>
      </c>
      <c r="C80" s="5" t="s">
        <v>155</v>
      </c>
      <c r="D80" s="5">
        <v>47.5</v>
      </c>
      <c r="E80" s="5">
        <f t="shared" si="1"/>
        <v>23.75</v>
      </c>
    </row>
    <row r="81" spans="1:5" x14ac:dyDescent="0.25">
      <c r="A81" s="6" t="s">
        <v>475</v>
      </c>
      <c r="B81" s="6" t="s">
        <v>155</v>
      </c>
      <c r="C81" s="6" t="s">
        <v>119</v>
      </c>
      <c r="D81" s="6">
        <v>96.72</v>
      </c>
      <c r="E81" s="6">
        <f t="shared" si="1"/>
        <v>48.36</v>
      </c>
    </row>
    <row r="82" spans="1:5" x14ac:dyDescent="0.25">
      <c r="A82" s="5" t="s">
        <v>476</v>
      </c>
      <c r="B82" s="5" t="s">
        <v>119</v>
      </c>
      <c r="C82" s="5" t="s">
        <v>118</v>
      </c>
      <c r="D82" s="5">
        <v>12.15</v>
      </c>
      <c r="E82" s="5">
        <f t="shared" si="1"/>
        <v>6.0750000000000002</v>
      </c>
    </row>
    <row r="83" spans="1:5" x14ac:dyDescent="0.25">
      <c r="A83" s="6" t="s">
        <v>477</v>
      </c>
      <c r="B83" s="6" t="s">
        <v>118</v>
      </c>
      <c r="C83" s="6" t="s">
        <v>120</v>
      </c>
      <c r="D83" s="6">
        <v>56.1</v>
      </c>
      <c r="E83" s="6">
        <f t="shared" si="1"/>
        <v>28.05</v>
      </c>
    </row>
    <row r="84" spans="1:5" x14ac:dyDescent="0.25">
      <c r="A84" s="5" t="s">
        <v>478</v>
      </c>
      <c r="B84" s="5" t="s">
        <v>76</v>
      </c>
      <c r="C84" s="5" t="s">
        <v>77</v>
      </c>
      <c r="D84" s="5">
        <v>11.35</v>
      </c>
      <c r="E84" s="5">
        <f t="shared" si="1"/>
        <v>5.6749999999999998</v>
      </c>
    </row>
    <row r="85" spans="1:5" x14ac:dyDescent="0.25">
      <c r="A85" s="6" t="s">
        <v>479</v>
      </c>
      <c r="B85" s="6" t="s">
        <v>77</v>
      </c>
      <c r="C85" s="6" t="s">
        <v>157</v>
      </c>
      <c r="D85" s="6">
        <v>49.03</v>
      </c>
      <c r="E85" s="6">
        <f t="shared" si="1"/>
        <v>24.515000000000001</v>
      </c>
    </row>
    <row r="86" spans="1:5" x14ac:dyDescent="0.25">
      <c r="A86" s="5" t="s">
        <v>480</v>
      </c>
      <c r="B86" s="5" t="s">
        <v>157</v>
      </c>
      <c r="C86" s="5" t="s">
        <v>79</v>
      </c>
      <c r="D86" s="5">
        <v>69.27</v>
      </c>
      <c r="E86" s="5">
        <f t="shared" si="1"/>
        <v>34.634999999999998</v>
      </c>
    </row>
    <row r="87" spans="1:5" x14ac:dyDescent="0.25">
      <c r="A87" s="6" t="s">
        <v>481</v>
      </c>
      <c r="B87" s="6" t="s">
        <v>79</v>
      </c>
      <c r="C87" s="6" t="s">
        <v>83</v>
      </c>
      <c r="D87" s="6">
        <v>75.86</v>
      </c>
      <c r="E87" s="6">
        <f t="shared" si="1"/>
        <v>37.93</v>
      </c>
    </row>
    <row r="88" spans="1:5" x14ac:dyDescent="0.25">
      <c r="A88" s="5" t="s">
        <v>482</v>
      </c>
      <c r="B88" s="5" t="s">
        <v>83</v>
      </c>
      <c r="C88" s="5" t="s">
        <v>84</v>
      </c>
      <c r="D88" s="5">
        <v>64</v>
      </c>
      <c r="E88" s="5">
        <f t="shared" si="1"/>
        <v>32</v>
      </c>
    </row>
    <row r="89" spans="1:5" x14ac:dyDescent="0.25">
      <c r="A89" s="6" t="s">
        <v>483</v>
      </c>
      <c r="B89" s="6" t="s">
        <v>84</v>
      </c>
      <c r="C89" s="6" t="s">
        <v>85</v>
      </c>
      <c r="D89" s="6">
        <v>35.35</v>
      </c>
      <c r="E89" s="6">
        <f t="shared" si="1"/>
        <v>17.675000000000001</v>
      </c>
    </row>
    <row r="90" spans="1:5" x14ac:dyDescent="0.25">
      <c r="A90" s="5" t="s">
        <v>484</v>
      </c>
      <c r="B90" s="5" t="s">
        <v>86</v>
      </c>
      <c r="C90" s="5" t="s">
        <v>81</v>
      </c>
      <c r="D90" s="5">
        <v>89.3</v>
      </c>
      <c r="E90" s="5">
        <f t="shared" si="1"/>
        <v>44.65</v>
      </c>
    </row>
    <row r="91" spans="1:5" x14ac:dyDescent="0.25">
      <c r="A91" s="6" t="s">
        <v>485</v>
      </c>
      <c r="B91" s="6" t="s">
        <v>81</v>
      </c>
      <c r="C91" s="6" t="s">
        <v>82</v>
      </c>
      <c r="D91" s="6">
        <v>23.43</v>
      </c>
      <c r="E91" s="6">
        <f t="shared" si="1"/>
        <v>11.715</v>
      </c>
    </row>
    <row r="92" spans="1:5" x14ac:dyDescent="0.25">
      <c r="A92" s="5" t="s">
        <v>486</v>
      </c>
      <c r="B92" s="5" t="s">
        <v>82</v>
      </c>
      <c r="C92" s="5" t="s">
        <v>83</v>
      </c>
      <c r="D92" s="5">
        <v>33.479999999999997</v>
      </c>
      <c r="E92" s="5">
        <f t="shared" si="1"/>
        <v>16.739999999999998</v>
      </c>
    </row>
    <row r="93" spans="1:5" x14ac:dyDescent="0.25">
      <c r="A93" s="6" t="s">
        <v>487</v>
      </c>
      <c r="B93" s="6" t="s">
        <v>81</v>
      </c>
      <c r="C93" s="6" t="s">
        <v>80</v>
      </c>
      <c r="D93" s="6">
        <v>50.34</v>
      </c>
      <c r="E93" s="6">
        <f t="shared" si="1"/>
        <v>25.17</v>
      </c>
    </row>
    <row r="94" spans="1:5" x14ac:dyDescent="0.25">
      <c r="A94" s="5" t="s">
        <v>488</v>
      </c>
      <c r="B94" s="5" t="s">
        <v>80</v>
      </c>
      <c r="C94" s="5" t="s">
        <v>158</v>
      </c>
      <c r="D94" s="5">
        <v>69.16</v>
      </c>
      <c r="E94" s="5">
        <f t="shared" si="1"/>
        <v>34.58</v>
      </c>
    </row>
    <row r="95" spans="1:5" x14ac:dyDescent="0.25">
      <c r="A95" s="6" t="s">
        <v>489</v>
      </c>
      <c r="B95" s="6" t="s">
        <v>158</v>
      </c>
      <c r="C95" s="6" t="s">
        <v>78</v>
      </c>
      <c r="D95" s="6">
        <v>47.97</v>
      </c>
      <c r="E95" s="6">
        <f t="shared" si="1"/>
        <v>23.984999999999999</v>
      </c>
    </row>
    <row r="96" spans="1:5" x14ac:dyDescent="0.25">
      <c r="A96" s="5" t="s">
        <v>368</v>
      </c>
      <c r="B96" s="5" t="s">
        <v>78</v>
      </c>
      <c r="C96" s="5" t="s">
        <v>178</v>
      </c>
      <c r="D96" s="5">
        <v>57.29</v>
      </c>
      <c r="E96" s="5">
        <f t="shared" si="1"/>
        <v>28.645</v>
      </c>
    </row>
    <row r="97" spans="1:5" x14ac:dyDescent="0.25">
      <c r="A97" s="6" t="s">
        <v>490</v>
      </c>
      <c r="B97" s="6" t="s">
        <v>78</v>
      </c>
      <c r="C97" s="6" t="s">
        <v>77</v>
      </c>
      <c r="D97" s="6">
        <v>26.8</v>
      </c>
      <c r="E97" s="6">
        <f t="shared" si="1"/>
        <v>13.4</v>
      </c>
    </row>
    <row r="98" spans="1:5" x14ac:dyDescent="0.25">
      <c r="A98" s="5" t="s">
        <v>491</v>
      </c>
      <c r="B98" s="5" t="s">
        <v>157</v>
      </c>
      <c r="C98" s="5" t="s">
        <v>158</v>
      </c>
      <c r="D98" s="5">
        <v>29.54</v>
      </c>
      <c r="E98" s="5">
        <f t="shared" si="1"/>
        <v>14.77</v>
      </c>
    </row>
    <row r="99" spans="1:5" x14ac:dyDescent="0.25">
      <c r="A99" s="6" t="s">
        <v>492</v>
      </c>
      <c r="B99" s="6" t="s">
        <v>79</v>
      </c>
      <c r="C99" s="6" t="s">
        <v>80</v>
      </c>
      <c r="D99" s="6">
        <v>31.74</v>
      </c>
      <c r="E99" s="6">
        <f t="shared" si="1"/>
        <v>15.87</v>
      </c>
    </row>
    <row r="100" spans="1:5" x14ac:dyDescent="0.25">
      <c r="A100" s="5" t="s">
        <v>493</v>
      </c>
      <c r="B100" s="5" t="s">
        <v>82</v>
      </c>
      <c r="C100" s="5" t="s">
        <v>85</v>
      </c>
      <c r="D100" s="5">
        <v>63.74</v>
      </c>
      <c r="E100" s="5">
        <f t="shared" si="1"/>
        <v>31.87</v>
      </c>
    </row>
    <row r="101" spans="1:5" x14ac:dyDescent="0.25">
      <c r="A101" s="6" t="s">
        <v>494</v>
      </c>
      <c r="B101" s="6" t="s">
        <v>87</v>
      </c>
      <c r="C101" s="6" t="s">
        <v>88</v>
      </c>
      <c r="D101" s="6">
        <v>50.81</v>
      </c>
      <c r="E101" s="6">
        <f t="shared" si="1"/>
        <v>25.405000000000001</v>
      </c>
    </row>
    <row r="102" spans="1:5" x14ac:dyDescent="0.25">
      <c r="A102" s="5" t="s">
        <v>495</v>
      </c>
      <c r="B102" s="5" t="s">
        <v>88</v>
      </c>
      <c r="C102" s="5" t="s">
        <v>93</v>
      </c>
      <c r="D102" s="5">
        <v>92.85</v>
      </c>
      <c r="E102" s="5">
        <f t="shared" si="1"/>
        <v>46.424999999999997</v>
      </c>
    </row>
    <row r="103" spans="1:5" x14ac:dyDescent="0.25">
      <c r="A103" s="6" t="s">
        <v>496</v>
      </c>
      <c r="B103" s="6" t="s">
        <v>93</v>
      </c>
      <c r="C103" s="6" t="s">
        <v>92</v>
      </c>
      <c r="D103" s="6">
        <v>176.05</v>
      </c>
      <c r="E103" s="6">
        <f t="shared" si="1"/>
        <v>88.025000000000006</v>
      </c>
    </row>
    <row r="104" spans="1:5" x14ac:dyDescent="0.25">
      <c r="A104" s="5" t="s">
        <v>497</v>
      </c>
      <c r="B104" s="5" t="s">
        <v>92</v>
      </c>
      <c r="C104" s="5" t="s">
        <v>91</v>
      </c>
      <c r="D104" s="5">
        <v>25.63</v>
      </c>
      <c r="E104" s="5">
        <f t="shared" si="1"/>
        <v>12.815</v>
      </c>
    </row>
    <row r="105" spans="1:5" x14ac:dyDescent="0.25">
      <c r="A105" s="6" t="s">
        <v>372</v>
      </c>
      <c r="B105" s="6" t="s">
        <v>94</v>
      </c>
      <c r="C105" s="6" t="s">
        <v>182</v>
      </c>
      <c r="D105" s="6">
        <v>90.81</v>
      </c>
      <c r="E105" s="6">
        <f t="shared" si="1"/>
        <v>45.405000000000001</v>
      </c>
    </row>
    <row r="106" spans="1:5" x14ac:dyDescent="0.25">
      <c r="A106" s="5" t="s">
        <v>498</v>
      </c>
      <c r="B106" s="5" t="s">
        <v>94</v>
      </c>
      <c r="C106" s="5" t="s">
        <v>95</v>
      </c>
      <c r="D106" s="5">
        <v>57.65</v>
      </c>
      <c r="E106" s="5">
        <f t="shared" si="1"/>
        <v>28.824999999999999</v>
      </c>
    </row>
    <row r="107" spans="1:5" x14ac:dyDescent="0.25">
      <c r="A107" s="6" t="s">
        <v>499</v>
      </c>
      <c r="B107" s="6" t="s">
        <v>95</v>
      </c>
      <c r="C107" s="6" t="s">
        <v>98</v>
      </c>
      <c r="D107" s="6">
        <v>58.79</v>
      </c>
      <c r="E107" s="6">
        <f t="shared" si="1"/>
        <v>29.395</v>
      </c>
    </row>
    <row r="108" spans="1:5" x14ac:dyDescent="0.25">
      <c r="A108" s="5" t="s">
        <v>500</v>
      </c>
      <c r="B108" s="5" t="s">
        <v>98</v>
      </c>
      <c r="C108" s="5" t="s">
        <v>97</v>
      </c>
      <c r="D108" s="5">
        <v>34.43</v>
      </c>
      <c r="E108" s="5">
        <f t="shared" si="1"/>
        <v>17.215</v>
      </c>
    </row>
    <row r="109" spans="1:5" x14ac:dyDescent="0.25">
      <c r="A109" s="6" t="s">
        <v>374</v>
      </c>
      <c r="B109" s="6" t="s">
        <v>97</v>
      </c>
      <c r="C109" s="6" t="s">
        <v>184</v>
      </c>
      <c r="D109" s="6">
        <v>75.19</v>
      </c>
      <c r="E109" s="6">
        <f t="shared" si="1"/>
        <v>37.594999999999999</v>
      </c>
    </row>
    <row r="110" spans="1:5" x14ac:dyDescent="0.25">
      <c r="A110" s="5" t="s">
        <v>373</v>
      </c>
      <c r="B110" s="5" t="s">
        <v>96</v>
      </c>
      <c r="C110" s="5" t="s">
        <v>183</v>
      </c>
      <c r="D110" s="5">
        <v>30.35</v>
      </c>
      <c r="E110" s="5">
        <f t="shared" si="1"/>
        <v>15.175000000000001</v>
      </c>
    </row>
    <row r="111" spans="1:5" x14ac:dyDescent="0.25">
      <c r="A111" s="6" t="s">
        <v>501</v>
      </c>
      <c r="B111" s="6" t="s">
        <v>98</v>
      </c>
      <c r="C111" s="6" t="s">
        <v>39</v>
      </c>
      <c r="D111" s="6">
        <v>60.91</v>
      </c>
      <c r="E111" s="6">
        <f t="shared" si="1"/>
        <v>30.454999999999998</v>
      </c>
    </row>
    <row r="112" spans="1:5" x14ac:dyDescent="0.25">
      <c r="A112" s="5" t="s">
        <v>502</v>
      </c>
      <c r="B112" s="5" t="s">
        <v>87</v>
      </c>
      <c r="C112" s="5" t="s">
        <v>86</v>
      </c>
      <c r="D112" s="5">
        <v>5.14</v>
      </c>
      <c r="E112" s="5">
        <f t="shared" si="1"/>
        <v>2.57</v>
      </c>
    </row>
    <row r="113" spans="1:5" x14ac:dyDescent="0.25">
      <c r="A113" s="6" t="s">
        <v>503</v>
      </c>
      <c r="B113" s="6" t="s">
        <v>86</v>
      </c>
      <c r="C113" s="6" t="s">
        <v>89</v>
      </c>
      <c r="D113" s="6">
        <v>80.36</v>
      </c>
      <c r="E113" s="6">
        <f t="shared" si="1"/>
        <v>40.18</v>
      </c>
    </row>
    <row r="114" spans="1:5" x14ac:dyDescent="0.25">
      <c r="A114" s="5" t="s">
        <v>504</v>
      </c>
      <c r="B114" s="5" t="s">
        <v>89</v>
      </c>
      <c r="C114" s="5" t="s">
        <v>198</v>
      </c>
      <c r="D114" s="5">
        <v>21.99</v>
      </c>
      <c r="E114" s="5">
        <f t="shared" si="1"/>
        <v>10.994999999999999</v>
      </c>
    </row>
    <row r="115" spans="1:5" x14ac:dyDescent="0.25">
      <c r="A115" s="6" t="s">
        <v>505</v>
      </c>
      <c r="B115" s="6" t="s">
        <v>198</v>
      </c>
      <c r="C115" s="6" t="s">
        <v>199</v>
      </c>
      <c r="D115" s="6">
        <v>39.99</v>
      </c>
      <c r="E115" s="6">
        <f t="shared" si="1"/>
        <v>19.995000000000001</v>
      </c>
    </row>
    <row r="116" spans="1:5" x14ac:dyDescent="0.25">
      <c r="A116" s="5" t="s">
        <v>506</v>
      </c>
      <c r="B116" s="5" t="s">
        <v>199</v>
      </c>
      <c r="C116" s="5" t="s">
        <v>90</v>
      </c>
      <c r="D116" s="5">
        <v>28.65</v>
      </c>
      <c r="E116" s="5">
        <f t="shared" si="1"/>
        <v>14.324999999999999</v>
      </c>
    </row>
    <row r="117" spans="1:5" x14ac:dyDescent="0.25">
      <c r="A117" s="6" t="s">
        <v>507</v>
      </c>
      <c r="B117" s="6" t="s">
        <v>162</v>
      </c>
      <c r="C117" s="6" t="s">
        <v>116</v>
      </c>
      <c r="D117" s="6">
        <v>89.85</v>
      </c>
      <c r="E117" s="6">
        <f t="shared" si="1"/>
        <v>44.924999999999997</v>
      </c>
    </row>
    <row r="118" spans="1:5" x14ac:dyDescent="0.25">
      <c r="A118" s="5" t="s">
        <v>508</v>
      </c>
      <c r="B118" s="5" t="s">
        <v>116</v>
      </c>
      <c r="C118" s="5" t="s">
        <v>84</v>
      </c>
      <c r="D118" s="5">
        <v>37.47</v>
      </c>
      <c r="E118" s="5">
        <f t="shared" si="1"/>
        <v>18.734999999999999</v>
      </c>
    </row>
    <row r="119" spans="1:5" x14ac:dyDescent="0.25">
      <c r="A119" s="6" t="s">
        <v>509</v>
      </c>
      <c r="B119" s="6" t="s">
        <v>162</v>
      </c>
      <c r="C119" s="6" t="s">
        <v>106</v>
      </c>
      <c r="D119" s="6">
        <v>87.03</v>
      </c>
      <c r="E119" s="6">
        <f t="shared" si="1"/>
        <v>43.515000000000001</v>
      </c>
    </row>
    <row r="120" spans="1:5" x14ac:dyDescent="0.25">
      <c r="A120" s="5" t="s">
        <v>510</v>
      </c>
      <c r="B120" s="5" t="s">
        <v>106</v>
      </c>
      <c r="C120" s="5" t="s">
        <v>109</v>
      </c>
      <c r="D120" s="5">
        <v>74.41</v>
      </c>
      <c r="E120" s="5">
        <f t="shared" si="1"/>
        <v>37.204999999999998</v>
      </c>
    </row>
    <row r="121" spans="1:5" x14ac:dyDescent="0.25">
      <c r="A121" s="6" t="s">
        <v>511</v>
      </c>
      <c r="B121" s="6" t="s">
        <v>109</v>
      </c>
      <c r="C121" s="6" t="s">
        <v>108</v>
      </c>
      <c r="D121" s="6">
        <v>12.86</v>
      </c>
      <c r="E121" s="6">
        <f t="shared" si="1"/>
        <v>6.43</v>
      </c>
    </row>
    <row r="122" spans="1:5" x14ac:dyDescent="0.25">
      <c r="A122" s="5" t="s">
        <v>512</v>
      </c>
      <c r="B122" s="5" t="s">
        <v>108</v>
      </c>
      <c r="C122" s="5" t="s">
        <v>107</v>
      </c>
      <c r="D122" s="5">
        <v>18.68</v>
      </c>
      <c r="E122" s="5">
        <f t="shared" si="1"/>
        <v>9.34</v>
      </c>
    </row>
    <row r="123" spans="1:5" x14ac:dyDescent="0.25">
      <c r="A123" s="6" t="s">
        <v>513</v>
      </c>
      <c r="B123" s="6" t="s">
        <v>167</v>
      </c>
      <c r="C123" s="6" t="s">
        <v>166</v>
      </c>
      <c r="D123" s="6">
        <v>48.24</v>
      </c>
      <c r="E123" s="6">
        <f t="shared" si="1"/>
        <v>24.12</v>
      </c>
    </row>
    <row r="124" spans="1:5" x14ac:dyDescent="0.25">
      <c r="A124" s="5" t="s">
        <v>514</v>
      </c>
      <c r="B124" s="5" t="s">
        <v>166</v>
      </c>
      <c r="C124" s="5" t="s">
        <v>103</v>
      </c>
      <c r="D124" s="5">
        <v>81.36</v>
      </c>
      <c r="E124" s="5">
        <f t="shared" si="1"/>
        <v>40.68</v>
      </c>
    </row>
    <row r="125" spans="1:5" x14ac:dyDescent="0.25">
      <c r="A125" s="6" t="s">
        <v>515</v>
      </c>
      <c r="B125" s="6" t="s">
        <v>103</v>
      </c>
      <c r="C125" s="6" t="s">
        <v>101</v>
      </c>
      <c r="D125" s="6">
        <v>44.41</v>
      </c>
      <c r="E125" s="6">
        <f t="shared" si="1"/>
        <v>22.204999999999998</v>
      </c>
    </row>
    <row r="126" spans="1:5" x14ac:dyDescent="0.25">
      <c r="A126" s="5" t="s">
        <v>355</v>
      </c>
      <c r="B126" s="5" t="s">
        <v>101</v>
      </c>
      <c r="C126" s="5" t="s">
        <v>165</v>
      </c>
      <c r="D126" s="5">
        <v>121.35</v>
      </c>
      <c r="E126" s="5">
        <f t="shared" si="1"/>
        <v>60.674999999999997</v>
      </c>
    </row>
    <row r="127" spans="1:5" x14ac:dyDescent="0.25">
      <c r="A127" s="6" t="s">
        <v>516</v>
      </c>
      <c r="B127" s="6" t="s">
        <v>106</v>
      </c>
      <c r="C127" s="6" t="s">
        <v>105</v>
      </c>
      <c r="D127" s="6">
        <v>52.48</v>
      </c>
      <c r="E127" s="6">
        <f t="shared" si="1"/>
        <v>26.24</v>
      </c>
    </row>
    <row r="128" spans="1:5" x14ac:dyDescent="0.25">
      <c r="A128" s="5" t="s">
        <v>517</v>
      </c>
      <c r="B128" s="5" t="s">
        <v>105</v>
      </c>
      <c r="C128" s="5" t="s">
        <v>104</v>
      </c>
      <c r="D128" s="5">
        <v>73.45</v>
      </c>
      <c r="E128" s="5">
        <f t="shared" si="1"/>
        <v>36.725000000000001</v>
      </c>
    </row>
    <row r="129" spans="1:5" x14ac:dyDescent="0.25">
      <c r="A129" s="6" t="s">
        <v>518</v>
      </c>
      <c r="B129" s="6" t="s">
        <v>104</v>
      </c>
      <c r="C129" s="6" t="s">
        <v>100</v>
      </c>
      <c r="D129" s="6">
        <v>130.96</v>
      </c>
      <c r="E129" s="6">
        <f t="shared" si="1"/>
        <v>65.48</v>
      </c>
    </row>
    <row r="130" spans="1:5" x14ac:dyDescent="0.25">
      <c r="A130" s="5" t="s">
        <v>519</v>
      </c>
      <c r="B130" s="5" t="s">
        <v>100</v>
      </c>
      <c r="C130" s="5" t="s">
        <v>99</v>
      </c>
      <c r="D130" s="5">
        <v>162.24</v>
      </c>
      <c r="E130" s="5">
        <f t="shared" si="1"/>
        <v>81.12</v>
      </c>
    </row>
    <row r="131" spans="1:5" x14ac:dyDescent="0.25">
      <c r="A131" s="6" t="s">
        <v>353</v>
      </c>
      <c r="B131" s="6" t="s">
        <v>99</v>
      </c>
      <c r="C131" s="6" t="s">
        <v>163</v>
      </c>
      <c r="D131" s="6">
        <v>40.79</v>
      </c>
      <c r="E131" s="6">
        <f t="shared" si="1"/>
        <v>20.395</v>
      </c>
    </row>
    <row r="132" spans="1:5" x14ac:dyDescent="0.25">
      <c r="A132" s="5" t="s">
        <v>520</v>
      </c>
      <c r="B132" s="5" t="s">
        <v>108</v>
      </c>
      <c r="C132" s="5" t="s">
        <v>112</v>
      </c>
      <c r="D132" s="5">
        <v>48.33</v>
      </c>
      <c r="E132" s="5">
        <f t="shared" ref="E132:E195" si="2">D132/2</f>
        <v>24.164999999999999</v>
      </c>
    </row>
    <row r="133" spans="1:5" x14ac:dyDescent="0.25">
      <c r="A133" s="6" t="s">
        <v>360</v>
      </c>
      <c r="B133" s="6" t="s">
        <v>170</v>
      </c>
      <c r="C133" s="6" t="s">
        <v>117</v>
      </c>
      <c r="D133" s="6">
        <v>97.26</v>
      </c>
      <c r="E133" s="6">
        <f t="shared" si="2"/>
        <v>48.63</v>
      </c>
    </row>
    <row r="134" spans="1:5" x14ac:dyDescent="0.25">
      <c r="A134" s="5" t="s">
        <v>359</v>
      </c>
      <c r="B134" s="5" t="s">
        <v>169</v>
      </c>
      <c r="C134" s="5" t="s">
        <v>102</v>
      </c>
      <c r="D134" s="5">
        <v>106.59</v>
      </c>
      <c r="E134" s="5">
        <f t="shared" si="2"/>
        <v>53.295000000000002</v>
      </c>
    </row>
    <row r="135" spans="1:5" x14ac:dyDescent="0.25">
      <c r="A135" s="6" t="s">
        <v>521</v>
      </c>
      <c r="B135" s="6" t="s">
        <v>109</v>
      </c>
      <c r="C135" s="6" t="s">
        <v>114</v>
      </c>
      <c r="D135" s="6">
        <v>29.02</v>
      </c>
      <c r="E135" s="6">
        <f t="shared" si="2"/>
        <v>14.51</v>
      </c>
    </row>
    <row r="136" spans="1:5" x14ac:dyDescent="0.25">
      <c r="A136" s="5" t="s">
        <v>522</v>
      </c>
      <c r="B136" s="5" t="s">
        <v>114</v>
      </c>
      <c r="C136" s="5" t="s">
        <v>113</v>
      </c>
      <c r="D136" s="5">
        <v>25.44</v>
      </c>
      <c r="E136" s="5">
        <f t="shared" si="2"/>
        <v>12.72</v>
      </c>
    </row>
    <row r="137" spans="1:5" x14ac:dyDescent="0.25">
      <c r="A137" s="6" t="s">
        <v>366</v>
      </c>
      <c r="B137" s="6" t="s">
        <v>115</v>
      </c>
      <c r="C137" s="6" t="s">
        <v>176</v>
      </c>
      <c r="D137" s="6">
        <v>63.46</v>
      </c>
      <c r="E137" s="6">
        <f t="shared" si="2"/>
        <v>31.73</v>
      </c>
    </row>
    <row r="138" spans="1:5" x14ac:dyDescent="0.25">
      <c r="A138" s="5" t="s">
        <v>523</v>
      </c>
      <c r="B138" s="5" t="s">
        <v>45</v>
      </c>
      <c r="C138" s="5" t="s">
        <v>44</v>
      </c>
      <c r="D138" s="5">
        <v>155.57</v>
      </c>
      <c r="E138" s="5">
        <f t="shared" si="2"/>
        <v>77.784999999999997</v>
      </c>
    </row>
    <row r="139" spans="1:5" x14ac:dyDescent="0.25">
      <c r="A139" s="6" t="s">
        <v>524</v>
      </c>
      <c r="B139" s="6" t="s">
        <v>44</v>
      </c>
      <c r="C139" s="6" t="s">
        <v>187</v>
      </c>
      <c r="D139" s="6">
        <v>78.150000000000006</v>
      </c>
      <c r="E139" s="6">
        <f t="shared" si="2"/>
        <v>39.075000000000003</v>
      </c>
    </row>
    <row r="140" spans="1:5" x14ac:dyDescent="0.25">
      <c r="A140" s="5" t="s">
        <v>525</v>
      </c>
      <c r="B140" s="5" t="s">
        <v>44</v>
      </c>
      <c r="C140" s="5" t="s">
        <v>43</v>
      </c>
      <c r="D140" s="5">
        <v>62.52</v>
      </c>
      <c r="E140" s="5">
        <f t="shared" si="2"/>
        <v>31.26</v>
      </c>
    </row>
    <row r="141" spans="1:5" x14ac:dyDescent="0.25">
      <c r="A141" s="6" t="s">
        <v>526</v>
      </c>
      <c r="B141" s="6" t="s">
        <v>43</v>
      </c>
      <c r="C141" s="6" t="s">
        <v>185</v>
      </c>
      <c r="D141" s="6">
        <v>182.96</v>
      </c>
      <c r="E141" s="6">
        <f t="shared" si="2"/>
        <v>91.48</v>
      </c>
    </row>
    <row r="142" spans="1:5" x14ac:dyDescent="0.25">
      <c r="A142" s="5" t="s">
        <v>527</v>
      </c>
      <c r="B142" s="5" t="s">
        <v>41</v>
      </c>
      <c r="C142" s="5" t="s">
        <v>42</v>
      </c>
      <c r="D142" s="5">
        <v>11.35</v>
      </c>
      <c r="E142" s="5">
        <f t="shared" si="2"/>
        <v>5.6749999999999998</v>
      </c>
    </row>
    <row r="143" spans="1:5" x14ac:dyDescent="0.25">
      <c r="A143" s="6" t="s">
        <v>528</v>
      </c>
      <c r="B143" s="6" t="s">
        <v>57</v>
      </c>
      <c r="C143" s="6" t="s">
        <v>58</v>
      </c>
      <c r="D143" s="6">
        <v>15.54</v>
      </c>
      <c r="E143" s="6">
        <f t="shared" si="2"/>
        <v>7.77</v>
      </c>
    </row>
    <row r="144" spans="1:5" x14ac:dyDescent="0.25">
      <c r="A144" s="5" t="s">
        <v>529</v>
      </c>
      <c r="B144" s="5" t="s">
        <v>107</v>
      </c>
      <c r="C144" s="5" t="s">
        <v>105</v>
      </c>
      <c r="D144" s="5">
        <v>81.87</v>
      </c>
      <c r="E144" s="5">
        <f t="shared" si="2"/>
        <v>40.935000000000002</v>
      </c>
    </row>
    <row r="145" spans="1:5" x14ac:dyDescent="0.25">
      <c r="A145" s="6" t="s">
        <v>530</v>
      </c>
      <c r="B145" s="6" t="s">
        <v>104</v>
      </c>
      <c r="C145" s="6" t="s">
        <v>166</v>
      </c>
      <c r="D145" s="6">
        <v>86.88</v>
      </c>
      <c r="E145" s="6">
        <f t="shared" si="2"/>
        <v>43.44</v>
      </c>
    </row>
    <row r="146" spans="1:5" x14ac:dyDescent="0.25">
      <c r="A146" s="5" t="s">
        <v>531</v>
      </c>
      <c r="B146" s="5" t="s">
        <v>166</v>
      </c>
      <c r="C146" s="5" t="s">
        <v>110</v>
      </c>
      <c r="D146" s="5">
        <v>76.930000000000007</v>
      </c>
      <c r="E146" s="5">
        <f t="shared" si="2"/>
        <v>38.465000000000003</v>
      </c>
    </row>
    <row r="147" spans="1:5" x14ac:dyDescent="0.25">
      <c r="A147" s="6" t="s">
        <v>532</v>
      </c>
      <c r="B147" s="6" t="s">
        <v>111</v>
      </c>
      <c r="C147" s="6" t="s">
        <v>112</v>
      </c>
      <c r="D147" s="6">
        <v>31.08</v>
      </c>
      <c r="E147" s="6">
        <f t="shared" si="2"/>
        <v>15.54</v>
      </c>
    </row>
    <row r="148" spans="1:5" x14ac:dyDescent="0.25">
      <c r="A148" s="5" t="s">
        <v>533</v>
      </c>
      <c r="B148" s="5" t="s">
        <v>167</v>
      </c>
      <c r="C148" s="5" t="s">
        <v>107</v>
      </c>
      <c r="D148" s="5">
        <v>27.45</v>
      </c>
      <c r="E148" s="5">
        <f t="shared" si="2"/>
        <v>13.725</v>
      </c>
    </row>
    <row r="149" spans="1:5" x14ac:dyDescent="0.25">
      <c r="A149" s="6" t="s">
        <v>534</v>
      </c>
      <c r="B149" s="6" t="s">
        <v>167</v>
      </c>
      <c r="C149" s="6" t="s">
        <v>111</v>
      </c>
      <c r="D149" s="6">
        <v>52.95</v>
      </c>
      <c r="E149" s="6">
        <f t="shared" si="2"/>
        <v>26.475000000000001</v>
      </c>
    </row>
    <row r="150" spans="1:5" x14ac:dyDescent="0.25">
      <c r="A150" s="5" t="s">
        <v>535</v>
      </c>
      <c r="B150" s="5" t="s">
        <v>100</v>
      </c>
      <c r="C150" s="5" t="s">
        <v>101</v>
      </c>
      <c r="D150" s="5">
        <v>94.88</v>
      </c>
      <c r="E150" s="5">
        <f t="shared" si="2"/>
        <v>47.44</v>
      </c>
    </row>
    <row r="151" spans="1:5" x14ac:dyDescent="0.25">
      <c r="A151" s="6" t="s">
        <v>536</v>
      </c>
      <c r="B151" s="6" t="s">
        <v>101</v>
      </c>
      <c r="C151" s="6" t="s">
        <v>102</v>
      </c>
      <c r="D151" s="6">
        <v>67.17</v>
      </c>
      <c r="E151" s="6">
        <f t="shared" si="2"/>
        <v>33.585000000000001</v>
      </c>
    </row>
    <row r="152" spans="1:5" x14ac:dyDescent="0.25">
      <c r="A152" s="5" t="s">
        <v>537</v>
      </c>
      <c r="B152" s="5" t="s">
        <v>102</v>
      </c>
      <c r="C152" s="5" t="s">
        <v>117</v>
      </c>
      <c r="D152" s="5">
        <v>72.650000000000006</v>
      </c>
      <c r="E152" s="5">
        <f t="shared" si="2"/>
        <v>36.325000000000003</v>
      </c>
    </row>
    <row r="153" spans="1:5" x14ac:dyDescent="0.25">
      <c r="A153" s="6" t="s">
        <v>538</v>
      </c>
      <c r="B153" s="6" t="s">
        <v>168</v>
      </c>
      <c r="C153" s="6" t="s">
        <v>110</v>
      </c>
      <c r="D153" s="6">
        <v>55.91</v>
      </c>
      <c r="E153" s="6">
        <f t="shared" si="2"/>
        <v>27.954999999999998</v>
      </c>
    </row>
    <row r="154" spans="1:5" x14ac:dyDescent="0.25">
      <c r="A154" s="5" t="s">
        <v>539</v>
      </c>
      <c r="B154" s="5" t="s">
        <v>60</v>
      </c>
      <c r="C154" s="5" t="s">
        <v>61</v>
      </c>
      <c r="D154" s="5">
        <v>124.04</v>
      </c>
      <c r="E154" s="5">
        <f t="shared" si="2"/>
        <v>62.02</v>
      </c>
    </row>
    <row r="155" spans="1:5" x14ac:dyDescent="0.25">
      <c r="A155" s="6" t="s">
        <v>540</v>
      </c>
      <c r="B155" s="6" t="s">
        <v>61</v>
      </c>
      <c r="C155" s="6" t="s">
        <v>62</v>
      </c>
      <c r="D155" s="6">
        <v>114.9</v>
      </c>
      <c r="E155" s="6">
        <f t="shared" si="2"/>
        <v>57.45</v>
      </c>
    </row>
    <row r="156" spans="1:5" x14ac:dyDescent="0.25">
      <c r="A156" s="5" t="s">
        <v>541</v>
      </c>
      <c r="B156" s="5" t="s">
        <v>62</v>
      </c>
      <c r="C156" s="5" t="s">
        <v>160</v>
      </c>
      <c r="D156" s="5">
        <v>281.67</v>
      </c>
      <c r="E156" s="5">
        <f t="shared" si="2"/>
        <v>140.83500000000001</v>
      </c>
    </row>
    <row r="157" spans="1:5" x14ac:dyDescent="0.25">
      <c r="A157" s="6" t="s">
        <v>542</v>
      </c>
      <c r="B157" s="6" t="s">
        <v>135</v>
      </c>
      <c r="C157" s="6" t="s">
        <v>134</v>
      </c>
      <c r="D157" s="6">
        <v>80.81</v>
      </c>
      <c r="E157" s="6">
        <f t="shared" si="2"/>
        <v>40.405000000000001</v>
      </c>
    </row>
    <row r="158" spans="1:5" x14ac:dyDescent="0.25">
      <c r="A158" s="5" t="s">
        <v>543</v>
      </c>
      <c r="B158" s="5" t="s">
        <v>139</v>
      </c>
      <c r="C158" s="5" t="s">
        <v>135</v>
      </c>
      <c r="D158" s="5">
        <v>171.58</v>
      </c>
      <c r="E158" s="5">
        <f t="shared" si="2"/>
        <v>85.79</v>
      </c>
    </row>
    <row r="159" spans="1:5" x14ac:dyDescent="0.25">
      <c r="A159" s="6" t="s">
        <v>544</v>
      </c>
      <c r="B159" s="6" t="s">
        <v>134</v>
      </c>
      <c r="C159" s="6" t="s">
        <v>133</v>
      </c>
      <c r="D159" s="6">
        <v>17.45</v>
      </c>
      <c r="E159" s="6">
        <f t="shared" si="2"/>
        <v>8.7249999999999996</v>
      </c>
    </row>
    <row r="160" spans="1:5" x14ac:dyDescent="0.25">
      <c r="A160" s="5" t="s">
        <v>545</v>
      </c>
      <c r="B160" s="5" t="s">
        <v>133</v>
      </c>
      <c r="C160" s="5" t="s">
        <v>132</v>
      </c>
      <c r="D160" s="5">
        <v>60.91</v>
      </c>
      <c r="E160" s="5">
        <f t="shared" si="2"/>
        <v>30.454999999999998</v>
      </c>
    </row>
    <row r="161" spans="1:5" x14ac:dyDescent="0.25">
      <c r="A161" s="6" t="s">
        <v>546</v>
      </c>
      <c r="B161" s="6" t="s">
        <v>131</v>
      </c>
      <c r="C161" s="6" t="s">
        <v>130</v>
      </c>
      <c r="D161" s="6">
        <v>28.28</v>
      </c>
      <c r="E161" s="6">
        <f t="shared" si="2"/>
        <v>14.14</v>
      </c>
    </row>
    <row r="162" spans="1:5" x14ac:dyDescent="0.25">
      <c r="A162" s="5" t="s">
        <v>547</v>
      </c>
      <c r="B162" s="5" t="s">
        <v>130</v>
      </c>
      <c r="C162" s="5" t="s">
        <v>120</v>
      </c>
      <c r="D162" s="5">
        <v>50.22</v>
      </c>
      <c r="E162" s="5">
        <f t="shared" si="2"/>
        <v>25.11</v>
      </c>
    </row>
    <row r="163" spans="1:5" x14ac:dyDescent="0.25">
      <c r="A163" s="6" t="s">
        <v>548</v>
      </c>
      <c r="B163" s="6" t="s">
        <v>155</v>
      </c>
      <c r="C163" s="6" t="s">
        <v>154</v>
      </c>
      <c r="D163" s="6">
        <v>50.26</v>
      </c>
      <c r="E163" s="6">
        <f t="shared" si="2"/>
        <v>25.13</v>
      </c>
    </row>
    <row r="164" spans="1:5" x14ac:dyDescent="0.25">
      <c r="A164" s="5" t="s">
        <v>549</v>
      </c>
      <c r="B164" s="5" t="s">
        <v>154</v>
      </c>
      <c r="C164" s="5" t="s">
        <v>153</v>
      </c>
      <c r="D164" s="5">
        <v>40.270000000000003</v>
      </c>
      <c r="E164" s="5">
        <f t="shared" si="2"/>
        <v>20.135000000000002</v>
      </c>
    </row>
    <row r="165" spans="1:5" x14ac:dyDescent="0.25">
      <c r="A165" s="6" t="s">
        <v>550</v>
      </c>
      <c r="B165" s="6" t="s">
        <v>153</v>
      </c>
      <c r="C165" s="6" t="s">
        <v>144</v>
      </c>
      <c r="D165" s="6">
        <v>79.86</v>
      </c>
      <c r="E165" s="6">
        <f t="shared" si="2"/>
        <v>39.93</v>
      </c>
    </row>
    <row r="166" spans="1:5" x14ac:dyDescent="0.25">
      <c r="A166" s="5" t="s">
        <v>551</v>
      </c>
      <c r="B166" s="5" t="s">
        <v>130</v>
      </c>
      <c r="C166" s="5" t="s">
        <v>154</v>
      </c>
      <c r="D166" s="5">
        <v>159.91</v>
      </c>
      <c r="E166" s="5">
        <f t="shared" si="2"/>
        <v>79.954999999999998</v>
      </c>
    </row>
    <row r="167" spans="1:5" x14ac:dyDescent="0.25">
      <c r="A167" s="6" t="s">
        <v>552</v>
      </c>
      <c r="B167" s="6" t="s">
        <v>132</v>
      </c>
      <c r="C167" s="6" t="s">
        <v>553</v>
      </c>
      <c r="D167" s="6">
        <v>74.61</v>
      </c>
      <c r="E167" s="6">
        <f t="shared" si="2"/>
        <v>37.305</v>
      </c>
    </row>
    <row r="168" spans="1:5" x14ac:dyDescent="0.25">
      <c r="A168" s="5" t="s">
        <v>554</v>
      </c>
      <c r="B168" s="5" t="s">
        <v>553</v>
      </c>
      <c r="C168" s="5" t="s">
        <v>153</v>
      </c>
      <c r="D168" s="5">
        <v>78.349999999999994</v>
      </c>
      <c r="E168" s="5">
        <f t="shared" si="2"/>
        <v>39.174999999999997</v>
      </c>
    </row>
    <row r="169" spans="1:5" x14ac:dyDescent="0.25">
      <c r="A169" s="6" t="s">
        <v>555</v>
      </c>
      <c r="B169" s="6" t="s">
        <v>160</v>
      </c>
      <c r="C169" s="6" t="s">
        <v>161</v>
      </c>
      <c r="D169" s="6">
        <v>71.5</v>
      </c>
      <c r="E169" s="6">
        <f t="shared" si="2"/>
        <v>35.75</v>
      </c>
    </row>
    <row r="170" spans="1:5" x14ac:dyDescent="0.25">
      <c r="A170" s="5" t="s">
        <v>556</v>
      </c>
      <c r="B170" s="5" t="s">
        <v>138</v>
      </c>
      <c r="C170" s="5" t="s">
        <v>139</v>
      </c>
      <c r="D170" s="5">
        <v>69.819999999999993</v>
      </c>
      <c r="E170" s="5">
        <f t="shared" si="2"/>
        <v>34.909999999999997</v>
      </c>
    </row>
    <row r="171" spans="1:5" x14ac:dyDescent="0.25">
      <c r="A171" s="6" t="s">
        <v>557</v>
      </c>
      <c r="B171" s="6" t="s">
        <v>60</v>
      </c>
      <c r="C171" s="6" t="s">
        <v>29</v>
      </c>
      <c r="D171" s="6">
        <v>84.83</v>
      </c>
      <c r="E171" s="6">
        <f t="shared" si="2"/>
        <v>42.414999999999999</v>
      </c>
    </row>
    <row r="172" spans="1:5" x14ac:dyDescent="0.25">
      <c r="A172" s="5" t="s">
        <v>558</v>
      </c>
      <c r="B172" s="5" t="s">
        <v>61</v>
      </c>
      <c r="C172" s="5" t="s">
        <v>30</v>
      </c>
      <c r="D172" s="5">
        <v>84.47</v>
      </c>
      <c r="E172" s="5">
        <f t="shared" si="2"/>
        <v>42.234999999999999</v>
      </c>
    </row>
    <row r="173" spans="1:5" x14ac:dyDescent="0.25">
      <c r="A173" s="6" t="s">
        <v>559</v>
      </c>
      <c r="B173" s="6" t="s">
        <v>30</v>
      </c>
      <c r="C173" s="6" t="s">
        <v>31</v>
      </c>
      <c r="D173" s="6">
        <v>62.65</v>
      </c>
      <c r="E173" s="6">
        <f t="shared" si="2"/>
        <v>31.324999999999999</v>
      </c>
    </row>
    <row r="174" spans="1:5" x14ac:dyDescent="0.25">
      <c r="A174" s="5" t="s">
        <v>560</v>
      </c>
      <c r="B174" s="5" t="s">
        <v>62</v>
      </c>
      <c r="C174" s="5" t="s">
        <v>63</v>
      </c>
      <c r="D174" s="5">
        <v>85.86</v>
      </c>
      <c r="E174" s="5">
        <f t="shared" si="2"/>
        <v>42.93</v>
      </c>
    </row>
    <row r="175" spans="1:5" x14ac:dyDescent="0.25">
      <c r="A175" s="6" t="s">
        <v>561</v>
      </c>
      <c r="B175" s="6" t="s">
        <v>63</v>
      </c>
      <c r="C175" s="6" t="s">
        <v>64</v>
      </c>
      <c r="D175" s="6">
        <v>49.71</v>
      </c>
      <c r="E175" s="6">
        <f t="shared" si="2"/>
        <v>24.855</v>
      </c>
    </row>
    <row r="176" spans="1:5" x14ac:dyDescent="0.25">
      <c r="A176" s="5" t="s">
        <v>562</v>
      </c>
      <c r="B176" s="5" t="s">
        <v>202</v>
      </c>
      <c r="C176" s="5" t="s">
        <v>129</v>
      </c>
      <c r="D176" s="5">
        <v>50.35</v>
      </c>
      <c r="E176" s="5">
        <f t="shared" si="2"/>
        <v>25.175000000000001</v>
      </c>
    </row>
    <row r="177" spans="1:5" x14ac:dyDescent="0.25">
      <c r="A177" s="6" t="s">
        <v>362</v>
      </c>
      <c r="B177" s="6" t="s">
        <v>129</v>
      </c>
      <c r="C177" s="6" t="s">
        <v>172</v>
      </c>
      <c r="D177" s="6">
        <v>139.09</v>
      </c>
      <c r="E177" s="6">
        <f t="shared" si="2"/>
        <v>69.545000000000002</v>
      </c>
    </row>
    <row r="178" spans="1:5" x14ac:dyDescent="0.25">
      <c r="A178" s="5" t="s">
        <v>563</v>
      </c>
      <c r="B178" s="5" t="s">
        <v>129</v>
      </c>
      <c r="C178" s="5" t="s">
        <v>127</v>
      </c>
      <c r="D178" s="5">
        <v>96.43</v>
      </c>
      <c r="E178" s="5">
        <f t="shared" si="2"/>
        <v>48.215000000000003</v>
      </c>
    </row>
    <row r="179" spans="1:5" x14ac:dyDescent="0.25">
      <c r="A179" s="6" t="s">
        <v>564</v>
      </c>
      <c r="B179" s="6" t="s">
        <v>127</v>
      </c>
      <c r="C179" s="6" t="s">
        <v>128</v>
      </c>
      <c r="D179" s="6">
        <v>63.65</v>
      </c>
      <c r="E179" s="6">
        <f t="shared" si="2"/>
        <v>31.824999999999999</v>
      </c>
    </row>
    <row r="180" spans="1:5" x14ac:dyDescent="0.25">
      <c r="A180" s="5" t="s">
        <v>565</v>
      </c>
      <c r="B180" s="5" t="s">
        <v>128</v>
      </c>
      <c r="C180" s="5" t="s">
        <v>121</v>
      </c>
      <c r="D180" s="5">
        <v>39.81</v>
      </c>
      <c r="E180" s="5">
        <f t="shared" si="2"/>
        <v>19.905000000000001</v>
      </c>
    </row>
    <row r="181" spans="1:5" x14ac:dyDescent="0.25">
      <c r="A181" s="6" t="s">
        <v>566</v>
      </c>
      <c r="B181" s="6" t="s">
        <v>121</v>
      </c>
      <c r="C181" s="6" t="s">
        <v>120</v>
      </c>
      <c r="D181" s="6">
        <v>101.38</v>
      </c>
      <c r="E181" s="6">
        <f t="shared" si="2"/>
        <v>50.69</v>
      </c>
    </row>
    <row r="182" spans="1:5" x14ac:dyDescent="0.25">
      <c r="A182" s="5" t="s">
        <v>567</v>
      </c>
      <c r="B182" s="5" t="s">
        <v>128</v>
      </c>
      <c r="C182" s="5" t="s">
        <v>125</v>
      </c>
      <c r="D182" s="5">
        <v>66.53</v>
      </c>
      <c r="E182" s="5">
        <f t="shared" si="2"/>
        <v>33.265000000000001</v>
      </c>
    </row>
    <row r="183" spans="1:5" x14ac:dyDescent="0.25">
      <c r="A183" s="6" t="s">
        <v>568</v>
      </c>
      <c r="B183" s="6" t="s">
        <v>125</v>
      </c>
      <c r="C183" s="6" t="s">
        <v>124</v>
      </c>
      <c r="D183" s="6">
        <v>39.18</v>
      </c>
      <c r="E183" s="6">
        <f t="shared" si="2"/>
        <v>19.59</v>
      </c>
    </row>
    <row r="184" spans="1:5" x14ac:dyDescent="0.25">
      <c r="A184" s="5" t="s">
        <v>569</v>
      </c>
      <c r="B184" s="5" t="s">
        <v>124</v>
      </c>
      <c r="C184" s="5" t="s">
        <v>136</v>
      </c>
      <c r="D184" s="5">
        <v>122.26</v>
      </c>
      <c r="E184" s="5">
        <f t="shared" si="2"/>
        <v>61.13</v>
      </c>
    </row>
    <row r="185" spans="1:5" x14ac:dyDescent="0.25">
      <c r="A185" s="6" t="s">
        <v>570</v>
      </c>
      <c r="B185" s="6" t="s">
        <v>121</v>
      </c>
      <c r="C185" s="6" t="s">
        <v>122</v>
      </c>
      <c r="D185" s="6">
        <v>99.31</v>
      </c>
      <c r="E185" s="6">
        <f t="shared" si="2"/>
        <v>49.655000000000001</v>
      </c>
    </row>
    <row r="186" spans="1:5" x14ac:dyDescent="0.25">
      <c r="A186" s="5" t="s">
        <v>571</v>
      </c>
      <c r="B186" s="5" t="s">
        <v>122</v>
      </c>
      <c r="C186" s="5" t="s">
        <v>124</v>
      </c>
      <c r="D186" s="5">
        <v>36.729999999999997</v>
      </c>
      <c r="E186" s="5">
        <f t="shared" si="2"/>
        <v>18.364999999999998</v>
      </c>
    </row>
    <row r="187" spans="1:5" x14ac:dyDescent="0.25">
      <c r="A187" s="6" t="s">
        <v>572</v>
      </c>
      <c r="B187" s="6" t="s">
        <v>122</v>
      </c>
      <c r="C187" s="6" t="s">
        <v>123</v>
      </c>
      <c r="D187" s="6">
        <v>50.61</v>
      </c>
      <c r="E187" s="6">
        <f t="shared" si="2"/>
        <v>25.305</v>
      </c>
    </row>
    <row r="188" spans="1:5" x14ac:dyDescent="0.25">
      <c r="A188" s="5" t="s">
        <v>573</v>
      </c>
      <c r="B188" s="5" t="s">
        <v>123</v>
      </c>
      <c r="C188" s="5" t="s">
        <v>137</v>
      </c>
      <c r="D188" s="5">
        <v>102.93</v>
      </c>
      <c r="E188" s="5">
        <f t="shared" si="2"/>
        <v>51.465000000000003</v>
      </c>
    </row>
    <row r="189" spans="1:5" x14ac:dyDescent="0.25">
      <c r="A189" s="6" t="s">
        <v>574</v>
      </c>
      <c r="B189" s="6" t="s">
        <v>137</v>
      </c>
      <c r="C189" s="6" t="s">
        <v>136</v>
      </c>
      <c r="D189" s="6">
        <v>52.1</v>
      </c>
      <c r="E189" s="6">
        <f t="shared" si="2"/>
        <v>26.05</v>
      </c>
    </row>
    <row r="190" spans="1:5" x14ac:dyDescent="0.25">
      <c r="A190" s="5" t="s">
        <v>363</v>
      </c>
      <c r="B190" s="5" t="s">
        <v>126</v>
      </c>
      <c r="C190" s="5" t="s">
        <v>173</v>
      </c>
      <c r="D190" s="5">
        <v>143.91999999999999</v>
      </c>
      <c r="E190" s="5">
        <f t="shared" si="2"/>
        <v>71.959999999999994</v>
      </c>
    </row>
    <row r="191" spans="1:5" x14ac:dyDescent="0.25">
      <c r="A191" s="6" t="s">
        <v>575</v>
      </c>
      <c r="B191" s="6" t="s">
        <v>126</v>
      </c>
      <c r="C191" s="6" t="s">
        <v>125</v>
      </c>
      <c r="D191" s="6">
        <v>48.35</v>
      </c>
      <c r="E191" s="6">
        <f t="shared" si="2"/>
        <v>24.175000000000001</v>
      </c>
    </row>
    <row r="192" spans="1:5" x14ac:dyDescent="0.25">
      <c r="A192" s="5" t="s">
        <v>576</v>
      </c>
      <c r="B192" s="5" t="s">
        <v>123</v>
      </c>
      <c r="C192" s="5" t="s">
        <v>131</v>
      </c>
      <c r="D192" s="5">
        <v>67.28</v>
      </c>
      <c r="E192" s="5">
        <f t="shared" si="2"/>
        <v>33.64</v>
      </c>
    </row>
    <row r="193" spans="1:5" x14ac:dyDescent="0.25">
      <c r="A193" s="6" t="s">
        <v>577</v>
      </c>
      <c r="B193" s="6" t="s">
        <v>137</v>
      </c>
      <c r="C193" s="6" t="s">
        <v>133</v>
      </c>
      <c r="D193" s="6">
        <v>85.32</v>
      </c>
      <c r="E193" s="6">
        <f t="shared" si="2"/>
        <v>42.66</v>
      </c>
    </row>
    <row r="194" spans="1:5" x14ac:dyDescent="0.25">
      <c r="A194" s="5" t="s">
        <v>578</v>
      </c>
      <c r="B194" s="5" t="s">
        <v>151</v>
      </c>
      <c r="C194" s="5" t="s">
        <v>147</v>
      </c>
      <c r="D194" s="5">
        <v>83.84</v>
      </c>
      <c r="E194" s="5">
        <f t="shared" si="2"/>
        <v>41.92</v>
      </c>
    </row>
    <row r="195" spans="1:5" x14ac:dyDescent="0.25">
      <c r="A195" s="6" t="s">
        <v>385</v>
      </c>
      <c r="B195" s="6" t="s">
        <v>58</v>
      </c>
      <c r="C195" s="6" t="s">
        <v>195</v>
      </c>
      <c r="D195" s="6">
        <v>181.56</v>
      </c>
      <c r="E195" s="6">
        <f t="shared" si="2"/>
        <v>90.78</v>
      </c>
    </row>
    <row r="196" spans="1:5" x14ac:dyDescent="0.25">
      <c r="A196" s="5" t="s">
        <v>579</v>
      </c>
      <c r="B196" s="5" t="s">
        <v>145</v>
      </c>
      <c r="C196" s="5" t="s">
        <v>156</v>
      </c>
      <c r="D196" s="5">
        <v>174.76</v>
      </c>
      <c r="E196" s="5">
        <f t="shared" ref="E196:E259" si="3">D196/2</f>
        <v>87.38</v>
      </c>
    </row>
    <row r="197" spans="1:5" x14ac:dyDescent="0.25">
      <c r="A197" s="6" t="s">
        <v>580</v>
      </c>
      <c r="B197" s="6" t="s">
        <v>145</v>
      </c>
      <c r="C197" s="6" t="s">
        <v>146</v>
      </c>
      <c r="D197" s="6">
        <v>18.28</v>
      </c>
      <c r="E197" s="6">
        <f t="shared" si="3"/>
        <v>9.14</v>
      </c>
    </row>
    <row r="198" spans="1:5" x14ac:dyDescent="0.25">
      <c r="A198" s="5" t="s">
        <v>581</v>
      </c>
      <c r="B198" s="5" t="s">
        <v>143</v>
      </c>
      <c r="C198" s="5" t="s">
        <v>144</v>
      </c>
      <c r="D198" s="5">
        <v>25.11</v>
      </c>
      <c r="E198" s="5">
        <f t="shared" si="3"/>
        <v>12.555</v>
      </c>
    </row>
    <row r="199" spans="1:5" x14ac:dyDescent="0.25">
      <c r="A199" s="6" t="s">
        <v>582</v>
      </c>
      <c r="B199" s="6" t="s">
        <v>131</v>
      </c>
      <c r="C199" s="6" t="s">
        <v>132</v>
      </c>
      <c r="D199" s="6">
        <v>22.25</v>
      </c>
      <c r="E199" s="6">
        <f t="shared" si="3"/>
        <v>11.125</v>
      </c>
    </row>
    <row r="200" spans="1:5" x14ac:dyDescent="0.25">
      <c r="A200" s="5" t="s">
        <v>583</v>
      </c>
      <c r="B200" s="5" t="s">
        <v>73</v>
      </c>
      <c r="C200" s="5" t="s">
        <v>75</v>
      </c>
      <c r="D200" s="5">
        <v>10.6</v>
      </c>
      <c r="E200" s="5">
        <f t="shared" si="3"/>
        <v>5.3</v>
      </c>
    </row>
    <row r="201" spans="1:5" x14ac:dyDescent="0.25">
      <c r="A201" s="6" t="s">
        <v>584</v>
      </c>
      <c r="B201" s="6" t="s">
        <v>32</v>
      </c>
      <c r="C201" s="6" t="s">
        <v>31</v>
      </c>
      <c r="D201" s="6">
        <v>13.12</v>
      </c>
      <c r="E201" s="6">
        <f t="shared" si="3"/>
        <v>6.56</v>
      </c>
    </row>
    <row r="202" spans="1:5" x14ac:dyDescent="0.25">
      <c r="A202" s="5" t="s">
        <v>585</v>
      </c>
      <c r="B202" s="5" t="s">
        <v>186</v>
      </c>
      <c r="C202" s="5" t="s">
        <v>45</v>
      </c>
      <c r="D202" s="5">
        <v>75.44</v>
      </c>
      <c r="E202" s="5">
        <f t="shared" si="3"/>
        <v>37.72</v>
      </c>
    </row>
    <row r="203" spans="1:5" x14ac:dyDescent="0.25">
      <c r="A203" s="6" t="s">
        <v>586</v>
      </c>
      <c r="B203" s="6" t="s">
        <v>26</v>
      </c>
      <c r="C203" s="6" t="s">
        <v>26</v>
      </c>
      <c r="D203" s="6">
        <v>4.7300000000000004</v>
      </c>
      <c r="E203" s="6">
        <f t="shared" si="3"/>
        <v>2.3650000000000002</v>
      </c>
    </row>
    <row r="204" spans="1:5" x14ac:dyDescent="0.25">
      <c r="A204" s="5" t="s">
        <v>587</v>
      </c>
      <c r="B204" s="5" t="s">
        <v>27</v>
      </c>
      <c r="C204" s="5" t="s">
        <v>26</v>
      </c>
      <c r="D204" s="5">
        <v>88.64</v>
      </c>
      <c r="E204" s="5">
        <f t="shared" si="3"/>
        <v>44.32</v>
      </c>
    </row>
    <row r="205" spans="1:5" x14ac:dyDescent="0.25">
      <c r="A205" s="6" t="s">
        <v>588</v>
      </c>
      <c r="B205" s="6" t="s">
        <v>49</v>
      </c>
      <c r="C205" s="6" t="s">
        <v>53</v>
      </c>
      <c r="D205" s="6">
        <v>55.9</v>
      </c>
      <c r="E205" s="6">
        <f t="shared" si="3"/>
        <v>27.95</v>
      </c>
    </row>
    <row r="206" spans="1:5" x14ac:dyDescent="0.25">
      <c r="A206" s="5" t="s">
        <v>589</v>
      </c>
      <c r="B206" s="5" t="s">
        <v>48</v>
      </c>
      <c r="C206" s="5" t="s">
        <v>49</v>
      </c>
      <c r="D206" s="5">
        <v>78.44</v>
      </c>
      <c r="E206" s="5">
        <f t="shared" si="3"/>
        <v>39.22</v>
      </c>
    </row>
    <row r="207" spans="1:5" x14ac:dyDescent="0.25">
      <c r="A207" s="6" t="s">
        <v>590</v>
      </c>
      <c r="B207" s="6" t="s">
        <v>48</v>
      </c>
      <c r="C207" s="6" t="s">
        <v>47</v>
      </c>
      <c r="D207" s="6">
        <v>123.61</v>
      </c>
      <c r="E207" s="6">
        <f t="shared" si="3"/>
        <v>61.805</v>
      </c>
    </row>
    <row r="208" spans="1:5" x14ac:dyDescent="0.25">
      <c r="A208" s="5" t="s">
        <v>591</v>
      </c>
      <c r="B208" s="5" t="s">
        <v>201</v>
      </c>
      <c r="C208" s="5" t="s">
        <v>46</v>
      </c>
      <c r="D208" s="5">
        <v>115.11</v>
      </c>
      <c r="E208" s="5">
        <f t="shared" si="3"/>
        <v>57.555</v>
      </c>
    </row>
    <row r="209" spans="1:5" x14ac:dyDescent="0.25">
      <c r="A209" s="6" t="s">
        <v>592</v>
      </c>
      <c r="B209" s="6" t="s">
        <v>188</v>
      </c>
      <c r="C209" s="6" t="s">
        <v>201</v>
      </c>
      <c r="D209" s="6">
        <v>62.55</v>
      </c>
      <c r="E209" s="6">
        <f t="shared" si="3"/>
        <v>31.274999999999999</v>
      </c>
    </row>
    <row r="210" spans="1:5" x14ac:dyDescent="0.25">
      <c r="A210" s="5" t="s">
        <v>593</v>
      </c>
      <c r="B210" s="5" t="s">
        <v>45</v>
      </c>
      <c r="C210" s="5" t="s">
        <v>185</v>
      </c>
      <c r="D210" s="5">
        <v>63.14</v>
      </c>
      <c r="E210" s="5">
        <f t="shared" si="3"/>
        <v>31.57</v>
      </c>
    </row>
    <row r="211" spans="1:5" x14ac:dyDescent="0.25">
      <c r="A211" s="6" t="s">
        <v>594</v>
      </c>
      <c r="B211" s="6" t="s">
        <v>47</v>
      </c>
      <c r="C211" s="6" t="s">
        <v>186</v>
      </c>
      <c r="D211" s="6">
        <v>236.63</v>
      </c>
      <c r="E211" s="6">
        <f t="shared" si="3"/>
        <v>118.315</v>
      </c>
    </row>
    <row r="212" spans="1:5" x14ac:dyDescent="0.25">
      <c r="A212" s="5" t="s">
        <v>595</v>
      </c>
      <c r="B212" s="5" t="s">
        <v>28</v>
      </c>
      <c r="C212" s="5" t="s">
        <v>32</v>
      </c>
      <c r="D212" s="5">
        <v>98.18</v>
      </c>
      <c r="E212" s="5">
        <f t="shared" si="3"/>
        <v>49.09</v>
      </c>
    </row>
    <row r="213" spans="1:5" x14ac:dyDescent="0.25">
      <c r="A213" s="6" t="s">
        <v>596</v>
      </c>
      <c r="B213" s="6" t="s">
        <v>28</v>
      </c>
      <c r="C213" s="6" t="s">
        <v>205</v>
      </c>
      <c r="D213" s="6">
        <v>240.1</v>
      </c>
      <c r="E213" s="6">
        <f t="shared" si="3"/>
        <v>120.05</v>
      </c>
    </row>
    <row r="214" spans="1:5" x14ac:dyDescent="0.25">
      <c r="A214" s="5" t="s">
        <v>597</v>
      </c>
      <c r="B214" s="5" t="s">
        <v>204</v>
      </c>
      <c r="C214" s="5" t="s">
        <v>57</v>
      </c>
      <c r="D214" s="5">
        <v>173.9</v>
      </c>
      <c r="E214" s="5">
        <f t="shared" si="3"/>
        <v>86.95</v>
      </c>
    </row>
    <row r="215" spans="1:5" x14ac:dyDescent="0.25">
      <c r="A215" s="6" t="s">
        <v>598</v>
      </c>
      <c r="B215" s="6" t="s">
        <v>57</v>
      </c>
      <c r="C215" s="6" t="s">
        <v>59</v>
      </c>
      <c r="D215" s="6">
        <v>69.900000000000006</v>
      </c>
      <c r="E215" s="6">
        <f t="shared" si="3"/>
        <v>34.950000000000003</v>
      </c>
    </row>
    <row r="216" spans="1:5" x14ac:dyDescent="0.25">
      <c r="A216" s="5" t="s">
        <v>599</v>
      </c>
      <c r="B216" s="5" t="s">
        <v>160</v>
      </c>
      <c r="C216" s="5" t="s">
        <v>139</v>
      </c>
      <c r="D216" s="5">
        <v>209.25</v>
      </c>
      <c r="E216" s="5">
        <f t="shared" si="3"/>
        <v>104.625</v>
      </c>
    </row>
    <row r="217" spans="1:5" x14ac:dyDescent="0.25">
      <c r="A217" s="6" t="s">
        <v>600</v>
      </c>
      <c r="B217" s="6" t="s">
        <v>175</v>
      </c>
      <c r="C217" s="6" t="s">
        <v>135</v>
      </c>
      <c r="D217" s="6">
        <v>142.88</v>
      </c>
      <c r="E217" s="6">
        <f t="shared" si="3"/>
        <v>71.44</v>
      </c>
    </row>
    <row r="218" spans="1:5" x14ac:dyDescent="0.25">
      <c r="A218" s="5" t="s">
        <v>601</v>
      </c>
      <c r="B218" s="5" t="s">
        <v>136</v>
      </c>
      <c r="C218" s="5" t="s">
        <v>175</v>
      </c>
      <c r="D218" s="5">
        <v>90.28</v>
      </c>
      <c r="E218" s="5">
        <f t="shared" si="3"/>
        <v>45.14</v>
      </c>
    </row>
    <row r="219" spans="1:5" x14ac:dyDescent="0.25">
      <c r="A219" s="6" t="s">
        <v>364</v>
      </c>
      <c r="B219" s="6" t="s">
        <v>136</v>
      </c>
      <c r="C219" s="6" t="s">
        <v>174</v>
      </c>
      <c r="D219" s="6">
        <v>266.55</v>
      </c>
      <c r="E219" s="6">
        <f t="shared" si="3"/>
        <v>133.27500000000001</v>
      </c>
    </row>
    <row r="220" spans="1:5" x14ac:dyDescent="0.25">
      <c r="A220" s="5" t="s">
        <v>602</v>
      </c>
      <c r="B220" s="5" t="s">
        <v>127</v>
      </c>
      <c r="C220" s="5" t="s">
        <v>126</v>
      </c>
      <c r="D220" s="5">
        <v>68.66</v>
      </c>
      <c r="E220" s="5">
        <f t="shared" si="3"/>
        <v>34.33</v>
      </c>
    </row>
    <row r="221" spans="1:5" x14ac:dyDescent="0.25">
      <c r="A221" s="6" t="s">
        <v>361</v>
      </c>
      <c r="B221" s="6" t="s">
        <v>171</v>
      </c>
      <c r="C221" s="6" t="s">
        <v>202</v>
      </c>
      <c r="D221" s="6">
        <v>99.71</v>
      </c>
      <c r="E221" s="6">
        <f t="shared" si="3"/>
        <v>49.854999999999997</v>
      </c>
    </row>
    <row r="222" spans="1:5" x14ac:dyDescent="0.25">
      <c r="A222" s="5" t="s">
        <v>603</v>
      </c>
      <c r="B222" s="5" t="s">
        <v>168</v>
      </c>
      <c r="C222" s="5" t="s">
        <v>119</v>
      </c>
      <c r="D222" s="5">
        <v>146.16999999999999</v>
      </c>
      <c r="E222" s="5">
        <f t="shared" si="3"/>
        <v>73.084999999999994</v>
      </c>
    </row>
    <row r="223" spans="1:5" x14ac:dyDescent="0.25">
      <c r="A223" s="6" t="s">
        <v>604</v>
      </c>
      <c r="B223" s="6" t="s">
        <v>117</v>
      </c>
      <c r="C223" s="6" t="s">
        <v>118</v>
      </c>
      <c r="D223" s="6">
        <v>79.77</v>
      </c>
      <c r="E223" s="6">
        <f t="shared" si="3"/>
        <v>39.884999999999998</v>
      </c>
    </row>
    <row r="224" spans="1:5" x14ac:dyDescent="0.25">
      <c r="A224" s="5" t="s">
        <v>605</v>
      </c>
      <c r="B224" s="5" t="s">
        <v>103</v>
      </c>
      <c r="C224" s="5" t="s">
        <v>168</v>
      </c>
      <c r="D224" s="5">
        <v>71.98</v>
      </c>
      <c r="E224" s="5">
        <f t="shared" si="3"/>
        <v>35.99</v>
      </c>
    </row>
    <row r="225" spans="1:5" x14ac:dyDescent="0.25">
      <c r="A225" s="6" t="s">
        <v>606</v>
      </c>
      <c r="B225" s="6" t="s">
        <v>110</v>
      </c>
      <c r="C225" s="6" t="s">
        <v>209</v>
      </c>
      <c r="D225" s="6">
        <v>39.74</v>
      </c>
      <c r="E225" s="6">
        <f t="shared" si="3"/>
        <v>19.87</v>
      </c>
    </row>
    <row r="226" spans="1:5" x14ac:dyDescent="0.25">
      <c r="A226" s="5" t="s">
        <v>354</v>
      </c>
      <c r="B226" s="5" t="s">
        <v>99</v>
      </c>
      <c r="C226" s="5" t="s">
        <v>164</v>
      </c>
      <c r="D226" s="5">
        <v>135.59</v>
      </c>
      <c r="E226" s="5">
        <f t="shared" si="3"/>
        <v>67.795000000000002</v>
      </c>
    </row>
    <row r="227" spans="1:5" x14ac:dyDescent="0.25">
      <c r="A227" s="6" t="s">
        <v>607</v>
      </c>
      <c r="B227" s="6" t="s">
        <v>116</v>
      </c>
      <c r="C227" s="6" t="s">
        <v>115</v>
      </c>
      <c r="D227" s="6">
        <v>27.5</v>
      </c>
      <c r="E227" s="6">
        <f t="shared" si="3"/>
        <v>13.75</v>
      </c>
    </row>
    <row r="228" spans="1:5" x14ac:dyDescent="0.25">
      <c r="A228" s="5" t="s">
        <v>608</v>
      </c>
      <c r="B228" s="5" t="s">
        <v>85</v>
      </c>
      <c r="C228" s="5" t="s">
        <v>87</v>
      </c>
      <c r="D228" s="5">
        <v>144.18</v>
      </c>
      <c r="E228" s="5">
        <f t="shared" si="3"/>
        <v>72.09</v>
      </c>
    </row>
    <row r="229" spans="1:5" x14ac:dyDescent="0.25">
      <c r="A229" s="6" t="s">
        <v>369</v>
      </c>
      <c r="B229" s="6" t="s">
        <v>89</v>
      </c>
      <c r="C229" s="6" t="s">
        <v>179</v>
      </c>
      <c r="D229" s="6">
        <v>53.33</v>
      </c>
      <c r="E229" s="6">
        <f t="shared" si="3"/>
        <v>26.664999999999999</v>
      </c>
    </row>
    <row r="230" spans="1:5" x14ac:dyDescent="0.25">
      <c r="A230" s="5" t="s">
        <v>609</v>
      </c>
      <c r="B230" s="5" t="s">
        <v>90</v>
      </c>
      <c r="C230" s="5" t="s">
        <v>203</v>
      </c>
      <c r="D230" s="5">
        <v>65.44</v>
      </c>
      <c r="E230" s="5">
        <f t="shared" si="3"/>
        <v>32.72</v>
      </c>
    </row>
    <row r="231" spans="1:5" x14ac:dyDescent="0.25">
      <c r="A231" s="6" t="s">
        <v>610</v>
      </c>
      <c r="B231" s="6" t="s">
        <v>203</v>
      </c>
      <c r="C231" s="6" t="s">
        <v>91</v>
      </c>
      <c r="D231" s="6">
        <v>78.430000000000007</v>
      </c>
      <c r="E231" s="6">
        <f t="shared" si="3"/>
        <v>39.215000000000003</v>
      </c>
    </row>
    <row r="232" spans="1:5" x14ac:dyDescent="0.25">
      <c r="A232" s="5" t="s">
        <v>611</v>
      </c>
      <c r="B232" s="5" t="s">
        <v>91</v>
      </c>
      <c r="C232" s="5" t="s">
        <v>94</v>
      </c>
      <c r="D232" s="5">
        <v>145.9</v>
      </c>
      <c r="E232" s="5">
        <f t="shared" si="3"/>
        <v>72.95</v>
      </c>
    </row>
    <row r="233" spans="1:5" x14ac:dyDescent="0.25">
      <c r="A233" s="6" t="s">
        <v>612</v>
      </c>
      <c r="B233" s="6" t="s">
        <v>95</v>
      </c>
      <c r="C233" s="6" t="s">
        <v>96</v>
      </c>
      <c r="D233" s="6">
        <v>74.44</v>
      </c>
      <c r="E233" s="6">
        <f t="shared" si="3"/>
        <v>37.22</v>
      </c>
    </row>
    <row r="234" spans="1:5" x14ac:dyDescent="0.25">
      <c r="A234" s="5" t="s">
        <v>613</v>
      </c>
      <c r="B234" s="5" t="s">
        <v>97</v>
      </c>
      <c r="C234" s="5" t="s">
        <v>96</v>
      </c>
      <c r="D234" s="5">
        <v>70.69</v>
      </c>
      <c r="E234" s="5">
        <f t="shared" si="3"/>
        <v>35.344999999999999</v>
      </c>
    </row>
    <row r="235" spans="1:5" x14ac:dyDescent="0.25">
      <c r="A235" s="6" t="s">
        <v>614</v>
      </c>
      <c r="B235" s="6" t="s">
        <v>39</v>
      </c>
      <c r="C235" s="6" t="s">
        <v>40</v>
      </c>
      <c r="D235" s="6">
        <v>81.52</v>
      </c>
      <c r="E235" s="6">
        <f t="shared" si="3"/>
        <v>40.76</v>
      </c>
    </row>
    <row r="236" spans="1:5" x14ac:dyDescent="0.25">
      <c r="A236" s="5" t="s">
        <v>615</v>
      </c>
      <c r="B236" s="5" t="s">
        <v>38</v>
      </c>
      <c r="C236" s="5" t="s">
        <v>39</v>
      </c>
      <c r="D236" s="5">
        <v>166.45</v>
      </c>
      <c r="E236" s="5">
        <f t="shared" si="3"/>
        <v>83.224999999999994</v>
      </c>
    </row>
    <row r="237" spans="1:5" x14ac:dyDescent="0.25">
      <c r="A237" s="6" t="s">
        <v>616</v>
      </c>
      <c r="B237" s="6" t="s">
        <v>37</v>
      </c>
      <c r="C237" s="6" t="s">
        <v>40</v>
      </c>
      <c r="D237" s="6">
        <v>164.12</v>
      </c>
      <c r="E237" s="6">
        <f t="shared" si="3"/>
        <v>82.06</v>
      </c>
    </row>
    <row r="238" spans="1:5" x14ac:dyDescent="0.25">
      <c r="A238" s="5" t="s">
        <v>617</v>
      </c>
      <c r="B238" s="5" t="s">
        <v>43</v>
      </c>
      <c r="C238" s="5" t="s">
        <v>42</v>
      </c>
      <c r="D238" s="5">
        <v>175.52</v>
      </c>
      <c r="E238" s="5">
        <f t="shared" si="3"/>
        <v>87.76</v>
      </c>
    </row>
    <row r="239" spans="1:5" x14ac:dyDescent="0.25">
      <c r="A239" s="6" t="s">
        <v>618</v>
      </c>
      <c r="B239" s="6" t="s">
        <v>112</v>
      </c>
      <c r="C239" s="6" t="s">
        <v>156</v>
      </c>
      <c r="D239" s="6">
        <v>97.95</v>
      </c>
      <c r="E239" s="6">
        <f t="shared" si="3"/>
        <v>48.975000000000001</v>
      </c>
    </row>
    <row r="240" spans="1:5" x14ac:dyDescent="0.25">
      <c r="A240" s="5" t="s">
        <v>619</v>
      </c>
      <c r="B240" s="5" t="s">
        <v>113</v>
      </c>
      <c r="C240" s="5" t="s">
        <v>115</v>
      </c>
      <c r="D240" s="5">
        <v>81.03</v>
      </c>
      <c r="E240" s="5">
        <f t="shared" si="3"/>
        <v>40.515000000000001</v>
      </c>
    </row>
    <row r="241" spans="1:5" x14ac:dyDescent="0.25">
      <c r="A241" s="6" t="s">
        <v>620</v>
      </c>
      <c r="B241" s="6" t="s">
        <v>151</v>
      </c>
      <c r="C241" s="6" t="s">
        <v>113</v>
      </c>
      <c r="D241" s="6">
        <v>159.38999999999999</v>
      </c>
      <c r="E241" s="6">
        <f t="shared" si="3"/>
        <v>79.694999999999993</v>
      </c>
    </row>
    <row r="242" spans="1:5" x14ac:dyDescent="0.25">
      <c r="A242" s="5" t="s">
        <v>621</v>
      </c>
      <c r="B242" s="5" t="s">
        <v>152</v>
      </c>
      <c r="C242" s="5" t="s">
        <v>114</v>
      </c>
      <c r="D242" s="5">
        <v>165.33</v>
      </c>
      <c r="E242" s="5">
        <f t="shared" si="3"/>
        <v>82.665000000000006</v>
      </c>
    </row>
    <row r="243" spans="1:5" x14ac:dyDescent="0.25">
      <c r="A243" s="6" t="s">
        <v>622</v>
      </c>
      <c r="B243" s="6" t="s">
        <v>152</v>
      </c>
      <c r="C243" s="6" t="s">
        <v>146</v>
      </c>
      <c r="D243" s="6">
        <v>114.04</v>
      </c>
      <c r="E243" s="6">
        <f t="shared" si="3"/>
        <v>57.02</v>
      </c>
    </row>
    <row r="244" spans="1:5" x14ac:dyDescent="0.25">
      <c r="A244" s="5" t="s">
        <v>623</v>
      </c>
      <c r="B244" s="5" t="s">
        <v>92</v>
      </c>
      <c r="C244" s="5" t="s">
        <v>88</v>
      </c>
      <c r="D244" s="5">
        <v>162.22</v>
      </c>
      <c r="E244" s="5">
        <f t="shared" si="3"/>
        <v>81.11</v>
      </c>
    </row>
    <row r="245" spans="1:5" x14ac:dyDescent="0.25">
      <c r="A245" s="6" t="s">
        <v>371</v>
      </c>
      <c r="B245" s="6" t="s">
        <v>93</v>
      </c>
      <c r="C245" s="6" t="s">
        <v>181</v>
      </c>
      <c r="D245" s="6">
        <v>97.68</v>
      </c>
      <c r="E245" s="6">
        <f t="shared" si="3"/>
        <v>48.84</v>
      </c>
    </row>
    <row r="246" spans="1:5" x14ac:dyDescent="0.25">
      <c r="A246" s="5" t="s">
        <v>624</v>
      </c>
      <c r="B246" s="5" t="s">
        <v>58</v>
      </c>
      <c r="C246" s="5" t="s">
        <v>60</v>
      </c>
      <c r="D246" s="5">
        <v>65.56</v>
      </c>
      <c r="E246" s="5">
        <f t="shared" si="3"/>
        <v>32.78</v>
      </c>
    </row>
    <row r="247" spans="1:5" x14ac:dyDescent="0.25">
      <c r="A247" s="6" t="s">
        <v>625</v>
      </c>
      <c r="B247" s="6" t="s">
        <v>148</v>
      </c>
      <c r="C247" s="6" t="s">
        <v>74</v>
      </c>
      <c r="D247" s="6">
        <v>49.78</v>
      </c>
      <c r="E247" s="6">
        <f t="shared" si="3"/>
        <v>24.89</v>
      </c>
    </row>
    <row r="248" spans="1:5" x14ac:dyDescent="0.25">
      <c r="A248" s="5" t="s">
        <v>626</v>
      </c>
      <c r="B248" s="5" t="s">
        <v>142</v>
      </c>
      <c r="C248" s="5" t="s">
        <v>143</v>
      </c>
      <c r="D248" s="5">
        <v>85.42</v>
      </c>
      <c r="E248" s="5">
        <f t="shared" si="3"/>
        <v>42.71</v>
      </c>
    </row>
    <row r="249" spans="1:5" x14ac:dyDescent="0.25">
      <c r="A249" s="6" t="s">
        <v>627</v>
      </c>
      <c r="B249" s="6" t="s">
        <v>205</v>
      </c>
      <c r="C249" s="6" t="s">
        <v>56</v>
      </c>
      <c r="D249" s="6">
        <v>80.489999999999995</v>
      </c>
      <c r="E249" s="6">
        <f t="shared" si="3"/>
        <v>40.244999999999997</v>
      </c>
    </row>
    <row r="250" spans="1:5" x14ac:dyDescent="0.25">
      <c r="A250" s="5" t="s">
        <v>628</v>
      </c>
      <c r="B250" s="5" t="s">
        <v>59</v>
      </c>
      <c r="C250" s="5" t="s">
        <v>56</v>
      </c>
      <c r="D250" s="5">
        <v>174.51</v>
      </c>
      <c r="E250" s="5">
        <f t="shared" si="3"/>
        <v>87.254999999999995</v>
      </c>
    </row>
    <row r="251" spans="1:5" x14ac:dyDescent="0.25">
      <c r="A251" s="6" t="s">
        <v>629</v>
      </c>
      <c r="B251" s="6" t="s">
        <v>209</v>
      </c>
      <c r="C251" s="6" t="s">
        <v>111</v>
      </c>
      <c r="D251" s="6">
        <v>27.94</v>
      </c>
      <c r="E251" s="6">
        <f t="shared" si="3"/>
        <v>13.97</v>
      </c>
    </row>
    <row r="252" spans="1:5" x14ac:dyDescent="0.25">
      <c r="A252" s="5" t="s">
        <v>630</v>
      </c>
      <c r="B252" s="5" t="s">
        <v>75</v>
      </c>
      <c r="C252" s="5" t="s">
        <v>206</v>
      </c>
      <c r="D252" s="5">
        <v>42.28</v>
      </c>
      <c r="E252" s="5">
        <f t="shared" si="3"/>
        <v>21.14</v>
      </c>
    </row>
    <row r="253" spans="1:5" x14ac:dyDescent="0.25">
      <c r="A253" s="6" t="s">
        <v>370</v>
      </c>
      <c r="B253" s="6" t="s">
        <v>206</v>
      </c>
      <c r="C253" s="6" t="s">
        <v>180</v>
      </c>
      <c r="D253" s="6">
        <v>42.69</v>
      </c>
      <c r="E253" s="6">
        <f t="shared" si="3"/>
        <v>21.344999999999999</v>
      </c>
    </row>
    <row r="254" spans="1:5" x14ac:dyDescent="0.25">
      <c r="A254" s="5" t="s">
        <v>631</v>
      </c>
      <c r="B254" s="5" t="s">
        <v>72</v>
      </c>
      <c r="C254" s="5" t="s">
        <v>73</v>
      </c>
      <c r="D254" s="5">
        <v>104.27</v>
      </c>
      <c r="E254" s="5">
        <f t="shared" si="3"/>
        <v>52.134999999999998</v>
      </c>
    </row>
    <row r="255" spans="1:5" x14ac:dyDescent="0.25">
      <c r="A255" s="9" t="s">
        <v>210</v>
      </c>
      <c r="B255" s="9"/>
      <c r="C255" s="9"/>
      <c r="D255" s="9">
        <f>SUM(D2:D254)</f>
        <v>20397.790000000005</v>
      </c>
      <c r="E255" s="9">
        <f>SUM(E2:E254)</f>
        <v>10198.895000000002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92"/>
  <sheetViews>
    <sheetView topLeftCell="A172" workbookViewId="0">
      <selection activeCell="E186" sqref="E186"/>
    </sheetView>
  </sheetViews>
  <sheetFormatPr defaultRowHeight="15" x14ac:dyDescent="0.25"/>
  <cols>
    <col min="1" max="1" width="8" customWidth="1"/>
    <col min="2" max="2" width="26" customWidth="1"/>
    <col min="3" max="3" width="28" customWidth="1"/>
    <col min="4" max="4" width="18" customWidth="1"/>
    <col min="5" max="5" width="16" customWidth="1"/>
    <col min="6" max="6" width="25" bestFit="1" customWidth="1"/>
  </cols>
  <sheetData>
    <row r="1" spans="1:6" ht="15.75" x14ac:dyDescent="0.25">
      <c r="A1" s="13" t="s">
        <v>632</v>
      </c>
      <c r="B1" s="14"/>
      <c r="C1" s="14"/>
      <c r="D1" s="14"/>
      <c r="E1" s="14"/>
      <c r="F1" s="14"/>
    </row>
    <row r="3" spans="1:6" x14ac:dyDescent="0.25">
      <c r="A3" s="10" t="s">
        <v>633</v>
      </c>
      <c r="B3" t="s">
        <v>634</v>
      </c>
    </row>
    <row r="5" spans="1:6" x14ac:dyDescent="0.25">
      <c r="A5" s="4" t="s">
        <v>19</v>
      </c>
      <c r="B5" s="4" t="s">
        <v>635</v>
      </c>
      <c r="C5" s="4" t="s">
        <v>636</v>
      </c>
      <c r="D5" s="4" t="s">
        <v>637</v>
      </c>
      <c r="E5" s="4" t="s">
        <v>638</v>
      </c>
      <c r="F5" s="4" t="s">
        <v>639</v>
      </c>
    </row>
    <row r="6" spans="1:6" x14ac:dyDescent="0.25">
      <c r="A6" s="5" t="s">
        <v>26</v>
      </c>
      <c r="B6" s="5">
        <f>'Método Área Nodal'!F6</f>
        <v>0.55302869663713949</v>
      </c>
      <c r="C6" s="5">
        <f>'Método Linear'!F6</f>
        <v>0.44161388139352353</v>
      </c>
      <c r="D6" s="5">
        <f t="shared" ref="D6:D35" si="0">B6-C6</f>
        <v>0.11141481524361596</v>
      </c>
      <c r="E6" s="5">
        <f t="shared" ref="E6:E35" si="1">IF(B6=0,"-",ABS(D6/B6)*100)</f>
        <v>20.146299083774114</v>
      </c>
      <c r="F6" s="5" t="str">
        <f t="shared" ref="F6:F35" si="2">IF(B6=0,"sem área",IF(ABS(D6/B6)*100&lt;20,"✅ OK",IF(ABS(D6/B6)*100&lt;50,"⚠️ Moderado","❌ Divergente")))</f>
        <v>⚠️ Moderado</v>
      </c>
    </row>
    <row r="7" spans="1:6" x14ac:dyDescent="0.25">
      <c r="A7" s="6" t="s">
        <v>27</v>
      </c>
      <c r="B7" s="6">
        <f>'Método Área Nodal'!F7</f>
        <v>0.32904165361170762</v>
      </c>
      <c r="C7" s="6">
        <f>'Método Linear'!F7</f>
        <v>0.42876199615252447</v>
      </c>
      <c r="D7" s="6">
        <f t="shared" si="0"/>
        <v>-9.9720342540816853E-2</v>
      </c>
      <c r="E7" s="6">
        <f t="shared" si="1"/>
        <v>30.306297529884741</v>
      </c>
      <c r="F7" s="6" t="str">
        <f t="shared" si="2"/>
        <v>⚠️ Moderado</v>
      </c>
    </row>
    <row r="8" spans="1:6" x14ac:dyDescent="0.25">
      <c r="A8" s="5" t="s">
        <v>28</v>
      </c>
      <c r="B8" s="5">
        <f>'Método Área Nodal'!F8</f>
        <v>0.26932160256001081</v>
      </c>
      <c r="C8" s="5">
        <f>'Método Linear'!F8</f>
        <v>0.65394435395942407</v>
      </c>
      <c r="D8" s="5">
        <f t="shared" si="0"/>
        <v>-0.38462275139941327</v>
      </c>
      <c r="E8" s="5">
        <f t="shared" si="1"/>
        <v>142.81169714698649</v>
      </c>
      <c r="F8" s="5" t="str">
        <f t="shared" si="2"/>
        <v>❌ Divergente</v>
      </c>
    </row>
    <row r="9" spans="1:6" x14ac:dyDescent="0.25">
      <c r="A9" s="6" t="s">
        <v>29</v>
      </c>
      <c r="B9" s="6">
        <f>'Método Área Nodal'!F9</f>
        <v>0.39315259194994362</v>
      </c>
      <c r="C9" s="6">
        <f>'Método Linear'!F9</f>
        <v>0.48629223300661495</v>
      </c>
      <c r="D9" s="6">
        <f t="shared" si="0"/>
        <v>-9.313964105667133E-2</v>
      </c>
      <c r="E9" s="6">
        <f t="shared" si="1"/>
        <v>23.690455808702875</v>
      </c>
      <c r="F9" s="6" t="str">
        <f t="shared" si="2"/>
        <v>⚠️ Moderado</v>
      </c>
    </row>
    <row r="10" spans="1:6" x14ac:dyDescent="0.25">
      <c r="A10" s="5" t="s">
        <v>30</v>
      </c>
      <c r="B10" s="5">
        <f>'Método Área Nodal'!F10</f>
        <v>0.48859961105416272</v>
      </c>
      <c r="C10" s="5">
        <f>'Método Linear'!F10</f>
        <v>0.55014733023773654</v>
      </c>
      <c r="D10" s="5">
        <f t="shared" si="0"/>
        <v>-6.1547719183573824E-2</v>
      </c>
      <c r="E10" s="5">
        <f t="shared" si="1"/>
        <v>12.596759758114311</v>
      </c>
      <c r="F10" s="5" t="str">
        <f t="shared" si="2"/>
        <v>✅ OK</v>
      </c>
    </row>
    <row r="11" spans="1:6" x14ac:dyDescent="0.25">
      <c r="A11" s="6" t="s">
        <v>31</v>
      </c>
      <c r="B11" s="6">
        <f>'Método Área Nodal'!F11</f>
        <v>0.15606289084146516</v>
      </c>
      <c r="C11" s="6">
        <f>'Método Linear'!F11</f>
        <v>0.20395508667850781</v>
      </c>
      <c r="D11" s="6">
        <f t="shared" si="0"/>
        <v>-4.7892195837042656E-2</v>
      </c>
      <c r="E11" s="6">
        <f t="shared" si="1"/>
        <v>30.687753878462647</v>
      </c>
      <c r="F11" s="6" t="str">
        <f t="shared" si="2"/>
        <v>⚠️ Moderado</v>
      </c>
    </row>
    <row r="12" spans="1:6" x14ac:dyDescent="0.25">
      <c r="A12" s="5" t="s">
        <v>32</v>
      </c>
      <c r="B12" s="5">
        <f>'Método Área Nodal'!F12</f>
        <v>0.17825921024198718</v>
      </c>
      <c r="C12" s="5">
        <f>'Método Linear'!F12</f>
        <v>0.26596182288620479</v>
      </c>
      <c r="D12" s="5">
        <f t="shared" si="0"/>
        <v>-8.7702612644217609E-2</v>
      </c>
      <c r="E12" s="5">
        <f t="shared" si="1"/>
        <v>49.199484573706549</v>
      </c>
      <c r="F12" s="5" t="str">
        <f t="shared" si="2"/>
        <v>⚠️ Moderado</v>
      </c>
    </row>
    <row r="13" spans="1:6" x14ac:dyDescent="0.25">
      <c r="A13" s="6" t="s">
        <v>33</v>
      </c>
      <c r="B13" s="6">
        <f>'Método Área Nodal'!F13</f>
        <v>0.39249979250501038</v>
      </c>
      <c r="C13" s="6">
        <f>'Método Linear'!F13</f>
        <v>0.45914443047506609</v>
      </c>
      <c r="D13" s="6">
        <f t="shared" si="0"/>
        <v>-6.6644637970055709E-2</v>
      </c>
      <c r="E13" s="6">
        <f t="shared" si="1"/>
        <v>16.979534573691517</v>
      </c>
      <c r="F13" s="6" t="str">
        <f t="shared" si="2"/>
        <v>✅ OK</v>
      </c>
    </row>
    <row r="14" spans="1:6" x14ac:dyDescent="0.25">
      <c r="A14" s="5" t="s">
        <v>34</v>
      </c>
      <c r="B14" s="5">
        <f>'Método Área Nodal'!F14</f>
        <v>0.45110149054075777</v>
      </c>
      <c r="C14" s="5">
        <f>'Método Linear'!F14</f>
        <v>0.40721703797323144</v>
      </c>
      <c r="D14" s="5">
        <f t="shared" si="0"/>
        <v>4.3884452567526322E-2</v>
      </c>
      <c r="E14" s="5">
        <f t="shared" si="1"/>
        <v>9.7282880876584663</v>
      </c>
      <c r="F14" s="5" t="str">
        <f t="shared" si="2"/>
        <v>✅ OK</v>
      </c>
    </row>
    <row r="15" spans="1:6" x14ac:dyDescent="0.25">
      <c r="A15" s="6" t="s">
        <v>35</v>
      </c>
      <c r="B15" s="6">
        <f>'Método Área Nodal'!F15</f>
        <v>0.61874858356371598</v>
      </c>
      <c r="C15" s="6">
        <f>'Método Linear'!F15</f>
        <v>0.49157739030796965</v>
      </c>
      <c r="D15" s="6">
        <f t="shared" si="0"/>
        <v>0.12717119325574633</v>
      </c>
      <c r="E15" s="6">
        <f t="shared" si="1"/>
        <v>20.552967171786797</v>
      </c>
      <c r="F15" s="6" t="str">
        <f t="shared" si="2"/>
        <v>⚠️ Moderado</v>
      </c>
    </row>
    <row r="16" spans="1:6" x14ac:dyDescent="0.25">
      <c r="A16" s="5" t="s">
        <v>36</v>
      </c>
      <c r="B16" s="5">
        <f>'Método Área Nodal'!F16</f>
        <v>0.68621002785864094</v>
      </c>
      <c r="C16" s="5">
        <f>'Método Linear'!F16</f>
        <v>0.74127941231623629</v>
      </c>
      <c r="D16" s="5">
        <f t="shared" si="0"/>
        <v>-5.506938445759535E-2</v>
      </c>
      <c r="E16" s="5">
        <f t="shared" si="1"/>
        <v>8.0251500592963687</v>
      </c>
      <c r="F16" s="5" t="str">
        <f t="shared" si="2"/>
        <v>✅ OK</v>
      </c>
    </row>
    <row r="17" spans="1:6" x14ac:dyDescent="0.25">
      <c r="A17" s="6" t="s">
        <v>37</v>
      </c>
      <c r="B17" s="6">
        <f>'Método Área Nodal'!F17</f>
        <v>0.5596255565902537</v>
      </c>
      <c r="C17" s="6">
        <f>'Método Linear'!F17</f>
        <v>0.64444262307338196</v>
      </c>
      <c r="D17" s="6">
        <f t="shared" si="0"/>
        <v>-8.4817066483128256E-2</v>
      </c>
      <c r="E17" s="6">
        <f t="shared" si="1"/>
        <v>15.156038798497825</v>
      </c>
      <c r="F17" s="6" t="str">
        <f t="shared" si="2"/>
        <v>✅ OK</v>
      </c>
    </row>
    <row r="18" spans="1:6" x14ac:dyDescent="0.25">
      <c r="A18" s="5" t="s">
        <v>38</v>
      </c>
      <c r="B18" s="5">
        <f>'Método Área Nodal'!F18</f>
        <v>0.5643613405320933</v>
      </c>
      <c r="C18" s="5">
        <f>'Método Linear'!F18</f>
        <v>0.56516526355306129</v>
      </c>
      <c r="D18" s="5">
        <f t="shared" si="0"/>
        <v>-8.0392302096798929E-4</v>
      </c>
      <c r="E18" s="5">
        <f t="shared" si="1"/>
        <v>0.14244827971562182</v>
      </c>
      <c r="F18" s="5" t="str">
        <f t="shared" si="2"/>
        <v>✅ OK</v>
      </c>
    </row>
    <row r="19" spans="1:6" x14ac:dyDescent="0.25">
      <c r="A19" s="6" t="s">
        <v>39</v>
      </c>
      <c r="B19" s="6">
        <f>'Método Área Nodal'!F19</f>
        <v>0.50800773125614229</v>
      </c>
      <c r="C19" s="6">
        <f>'Método Linear'!F19</f>
        <v>0.44603261946514794</v>
      </c>
      <c r="D19" s="6">
        <f t="shared" si="0"/>
        <v>6.1975111790994353E-2</v>
      </c>
      <c r="E19" s="6">
        <f t="shared" si="1"/>
        <v>12.199639489294684</v>
      </c>
      <c r="F19" s="6" t="str">
        <f t="shared" si="2"/>
        <v>✅ OK</v>
      </c>
    </row>
    <row r="20" spans="1:6" x14ac:dyDescent="0.25">
      <c r="A20" s="5" t="s">
        <v>40</v>
      </c>
      <c r="B20" s="5">
        <f>'Método Área Nodal'!F20</f>
        <v>0.44838272598239132</v>
      </c>
      <c r="C20" s="5">
        <f>'Método Linear'!F20</f>
        <v>0.41876929436963506</v>
      </c>
      <c r="D20" s="5">
        <f t="shared" si="0"/>
        <v>2.9613431612756258E-2</v>
      </c>
      <c r="E20" s="5">
        <f t="shared" si="1"/>
        <v>6.6044987678493277</v>
      </c>
      <c r="F20" s="5" t="str">
        <f t="shared" si="2"/>
        <v>✅ OK</v>
      </c>
    </row>
    <row r="21" spans="1:6" x14ac:dyDescent="0.25">
      <c r="A21" s="6" t="s">
        <v>41</v>
      </c>
      <c r="B21" s="6">
        <f>'Método Área Nodal'!F21</f>
        <v>0.45121702522891949</v>
      </c>
      <c r="C21" s="6">
        <f>'Método Linear'!F21</f>
        <v>0.29836590207811731</v>
      </c>
      <c r="D21" s="6">
        <f t="shared" si="0"/>
        <v>0.15285112315080218</v>
      </c>
      <c r="E21" s="6">
        <f t="shared" si="1"/>
        <v>33.875300488330424</v>
      </c>
      <c r="F21" s="6" t="str">
        <f t="shared" si="2"/>
        <v>⚠️ Moderado</v>
      </c>
    </row>
    <row r="22" spans="1:6" x14ac:dyDescent="0.25">
      <c r="A22" s="6" t="s">
        <v>43</v>
      </c>
      <c r="B22" s="6">
        <f>'Método Área Nodal'!F22</f>
        <v>0.63474643848754342</v>
      </c>
      <c r="C22" s="6">
        <f>'Método Linear'!F23</f>
        <v>0.60793749286074616</v>
      </c>
      <c r="D22" s="6">
        <f t="shared" si="0"/>
        <v>2.6808945626797254E-2</v>
      </c>
      <c r="E22" s="6">
        <f t="shared" si="1"/>
        <v>4.2235677116482728</v>
      </c>
      <c r="F22" s="6" t="str">
        <f t="shared" si="2"/>
        <v>✅ OK</v>
      </c>
    </row>
    <row r="23" spans="1:6" x14ac:dyDescent="0.25">
      <c r="A23" s="5" t="s">
        <v>44</v>
      </c>
      <c r="B23" s="5">
        <f>'Método Área Nodal'!F23</f>
        <v>0.41813654141261331</v>
      </c>
      <c r="C23" s="5">
        <f>'Método Linear'!F24</f>
        <v>0.42778005435883004</v>
      </c>
      <c r="D23" s="5">
        <f t="shared" si="0"/>
        <v>-9.6435129462167368E-3</v>
      </c>
      <c r="E23" s="5">
        <f t="shared" si="1"/>
        <v>2.3063071487695228</v>
      </c>
      <c r="F23" s="5" t="str">
        <f t="shared" si="2"/>
        <v>✅ OK</v>
      </c>
    </row>
    <row r="24" spans="1:6" x14ac:dyDescent="0.25">
      <c r="A24" s="6" t="s">
        <v>45</v>
      </c>
      <c r="B24" s="6">
        <f>'Método Área Nodal'!F24</f>
        <v>0.47039350691818083</v>
      </c>
      <c r="C24" s="6">
        <f>'Método Linear'!F25</f>
        <v>0.42474758705477406</v>
      </c>
      <c r="D24" s="6">
        <f t="shared" si="0"/>
        <v>4.564591986340677E-2</v>
      </c>
      <c r="E24" s="6">
        <f t="shared" si="1"/>
        <v>9.7037733710355649</v>
      </c>
      <c r="F24" s="6" t="str">
        <f t="shared" si="2"/>
        <v>✅ OK</v>
      </c>
    </row>
    <row r="25" spans="1:6" x14ac:dyDescent="0.25">
      <c r="A25" s="6" t="s">
        <v>47</v>
      </c>
      <c r="B25" s="6">
        <f>'Método Área Nodal'!F25</f>
        <v>0.84739286970849326</v>
      </c>
      <c r="C25" s="6">
        <f>'Método Linear'!F27</f>
        <v>0.52998864282601199</v>
      </c>
      <c r="D25" s="6">
        <f t="shared" si="0"/>
        <v>0.31740422688248127</v>
      </c>
      <c r="E25" s="6">
        <f t="shared" si="1"/>
        <v>37.45656096819291</v>
      </c>
      <c r="F25" s="6" t="str">
        <f t="shared" si="2"/>
        <v>⚠️ Moderado</v>
      </c>
    </row>
    <row r="26" spans="1:6" x14ac:dyDescent="0.25">
      <c r="A26" s="5" t="s">
        <v>48</v>
      </c>
      <c r="B26" s="5">
        <f>'Método Área Nodal'!F26</f>
        <v>0.49851681273503701</v>
      </c>
      <c r="C26" s="5">
        <f>'Método Linear'!F28</f>
        <v>0.53076842013276926</v>
      </c>
      <c r="D26" s="5">
        <f t="shared" si="0"/>
        <v>-3.2251607397732251E-2</v>
      </c>
      <c r="E26" s="5">
        <f t="shared" si="1"/>
        <v>6.4695124765780099</v>
      </c>
      <c r="F26" s="5" t="str">
        <f t="shared" si="2"/>
        <v>✅ OK</v>
      </c>
    </row>
    <row r="27" spans="1:6" x14ac:dyDescent="0.25">
      <c r="A27" s="6" t="s">
        <v>49</v>
      </c>
      <c r="B27" s="6">
        <f>'Método Área Nodal'!F27</f>
        <v>0.26913492582248855</v>
      </c>
      <c r="C27" s="6">
        <f>'Método Linear'!F29</f>
        <v>0.23208483100375088</v>
      </c>
      <c r="D27" s="6">
        <f t="shared" si="0"/>
        <v>3.7050094818737667E-2</v>
      </c>
      <c r="E27" s="6">
        <f t="shared" si="1"/>
        <v>13.766364475183179</v>
      </c>
      <c r="F27" s="6" t="str">
        <f t="shared" si="2"/>
        <v>✅ OK</v>
      </c>
    </row>
    <row r="28" spans="1:6" x14ac:dyDescent="0.25">
      <c r="A28" s="5" t="s">
        <v>50</v>
      </c>
      <c r="B28" s="5">
        <f>'Método Área Nodal'!F28</f>
        <v>0.44540102040958784</v>
      </c>
      <c r="C28" s="5">
        <f>'Método Linear'!F30</f>
        <v>0.49232828697373593</v>
      </c>
      <c r="D28" s="5">
        <f t="shared" si="0"/>
        <v>-4.6927266564148085E-2</v>
      </c>
      <c r="E28" s="5">
        <f t="shared" si="1"/>
        <v>10.535958476474544</v>
      </c>
      <c r="F28" s="5" t="str">
        <f t="shared" si="2"/>
        <v>✅ OK</v>
      </c>
    </row>
    <row r="29" spans="1:6" x14ac:dyDescent="0.25">
      <c r="A29" s="6" t="s">
        <v>51</v>
      </c>
      <c r="B29" s="6">
        <f>'Método Área Nodal'!F29</f>
        <v>0.16031490884765234</v>
      </c>
      <c r="C29" s="6">
        <f>'Método Linear'!F31</f>
        <v>0.39733985875430622</v>
      </c>
      <c r="D29" s="6">
        <f t="shared" si="0"/>
        <v>-0.23702494990665388</v>
      </c>
      <c r="E29" s="6">
        <f t="shared" si="1"/>
        <v>147.84959902381837</v>
      </c>
      <c r="F29" s="6" t="str">
        <f t="shared" si="2"/>
        <v>❌ Divergente</v>
      </c>
    </row>
    <row r="30" spans="1:6" x14ac:dyDescent="0.25">
      <c r="A30" s="5" t="s">
        <v>52</v>
      </c>
      <c r="B30" s="5">
        <f>'Método Área Nodal'!F30</f>
        <v>0.26975414622012361</v>
      </c>
      <c r="C30" s="5">
        <f>'Método Linear'!F32</f>
        <v>0.37137616250338884</v>
      </c>
      <c r="D30" s="5">
        <f t="shared" si="0"/>
        <v>-0.10162201628326523</v>
      </c>
      <c r="E30" s="5">
        <f t="shared" si="1"/>
        <v>37.672086863992099</v>
      </c>
      <c r="F30" s="5" t="str">
        <f t="shared" si="2"/>
        <v>⚠️ Moderado</v>
      </c>
    </row>
    <row r="31" spans="1:6" x14ac:dyDescent="0.25">
      <c r="A31" s="6" t="s">
        <v>53</v>
      </c>
      <c r="B31" s="6">
        <f>'Método Área Nodal'!F31</f>
        <v>0.17612039567000864</v>
      </c>
      <c r="C31" s="6">
        <f>'Método Linear'!F33</f>
        <v>0.25175254751862824</v>
      </c>
      <c r="D31" s="6">
        <f t="shared" si="0"/>
        <v>-7.56321518486196E-2</v>
      </c>
      <c r="E31" s="6">
        <f t="shared" si="1"/>
        <v>42.943437391731301</v>
      </c>
      <c r="F31" s="6" t="str">
        <f t="shared" si="2"/>
        <v>⚠️ Moderado</v>
      </c>
    </row>
    <row r="32" spans="1:6" x14ac:dyDescent="0.25">
      <c r="A32" s="5" t="s">
        <v>54</v>
      </c>
      <c r="B32" s="5">
        <f>'Método Área Nodal'!F32</f>
        <v>0.10442571486992769</v>
      </c>
      <c r="C32" s="5">
        <f>'Método Linear'!F34</f>
        <v>0.23188266651681383</v>
      </c>
      <c r="D32" s="5">
        <f t="shared" si="0"/>
        <v>-0.12745695164688614</v>
      </c>
      <c r="E32" s="5">
        <f t="shared" si="1"/>
        <v>122.05513920172449</v>
      </c>
      <c r="F32" s="5" t="str">
        <f t="shared" si="2"/>
        <v>❌ Divergente</v>
      </c>
    </row>
    <row r="33" spans="1:6" x14ac:dyDescent="0.25">
      <c r="A33" s="6" t="s">
        <v>55</v>
      </c>
      <c r="B33" s="6">
        <f>'Método Área Nodal'!F33</f>
        <v>0.25161576931513291</v>
      </c>
      <c r="C33" s="6">
        <f>'Método Linear'!F35</f>
        <v>0.39881277144484767</v>
      </c>
      <c r="D33" s="6">
        <f t="shared" si="0"/>
        <v>-0.14719700212971476</v>
      </c>
      <c r="E33" s="6">
        <f t="shared" si="1"/>
        <v>58.500706267483494</v>
      </c>
      <c r="F33" s="6" t="str">
        <f t="shared" si="2"/>
        <v>❌ Divergente</v>
      </c>
    </row>
    <row r="34" spans="1:6" x14ac:dyDescent="0.25">
      <c r="A34" s="5" t="s">
        <v>56</v>
      </c>
      <c r="B34" s="5">
        <f>'Método Área Nodal'!F34</f>
        <v>0.41644449891061958</v>
      </c>
      <c r="C34" s="5">
        <f>'Método Linear'!F36</f>
        <v>0.44536836472235469</v>
      </c>
      <c r="D34" s="5">
        <f t="shared" si="0"/>
        <v>-2.8923865811735117E-2</v>
      </c>
      <c r="E34" s="5">
        <f t="shared" si="1"/>
        <v>6.9454311168468505</v>
      </c>
      <c r="F34" s="5" t="str">
        <f t="shared" si="2"/>
        <v>✅ OK</v>
      </c>
    </row>
    <row r="35" spans="1:6" x14ac:dyDescent="0.25">
      <c r="A35" s="6" t="s">
        <v>57</v>
      </c>
      <c r="B35" s="6">
        <f>'Método Área Nodal'!F35</f>
        <v>0.30713616290897194</v>
      </c>
      <c r="C35" s="6">
        <f>'Método Linear'!F37</f>
        <v>0.37452415237140879</v>
      </c>
      <c r="D35" s="6">
        <f t="shared" si="0"/>
        <v>-6.7387989462436848E-2</v>
      </c>
      <c r="E35" s="6">
        <f t="shared" si="1"/>
        <v>21.940753841614242</v>
      </c>
      <c r="F35" s="6" t="str">
        <f t="shared" si="2"/>
        <v>⚠️ Moderado</v>
      </c>
    </row>
    <row r="36" spans="1:6" x14ac:dyDescent="0.25">
      <c r="A36" s="5" t="s">
        <v>58</v>
      </c>
      <c r="B36" s="5">
        <f>'Método Área Nodal'!F36</f>
        <v>0.17065725541550586</v>
      </c>
      <c r="C36" s="5">
        <f>'Método Linear'!F38</f>
        <v>0.37928945813492543</v>
      </c>
      <c r="D36" s="5">
        <f t="shared" ref="D36:D66" si="3">B36-C36</f>
        <v>-0.20863220271941957</v>
      </c>
      <c r="E36" s="5">
        <f t="shared" ref="E36:E66" si="4">IF(B36=0,"-",ABS(D36/B36)*100)</f>
        <v>122.25217276080915</v>
      </c>
      <c r="F36" s="5" t="str">
        <f t="shared" ref="F36:F66" si="5">IF(B36=0,"sem área",IF(ABS(D36/B36)*100&lt;20,"✅ OK",IF(ABS(D36/B36)*100&lt;50,"⚠️ Moderado","❌ Divergente")))</f>
        <v>❌ Divergente</v>
      </c>
    </row>
    <row r="37" spans="1:6" x14ac:dyDescent="0.25">
      <c r="A37" s="6" t="s">
        <v>59</v>
      </c>
      <c r="B37" s="6">
        <f>'Método Área Nodal'!F37</f>
        <v>0.45003492893674296</v>
      </c>
      <c r="C37" s="6">
        <f>'Método Linear'!F39</f>
        <v>0.44326007793001104</v>
      </c>
      <c r="D37" s="6">
        <f t="shared" si="3"/>
        <v>6.774851006731919E-3</v>
      </c>
      <c r="E37" s="6">
        <f t="shared" si="4"/>
        <v>1.5054055965696373</v>
      </c>
      <c r="F37" s="6" t="str">
        <f t="shared" si="5"/>
        <v>✅ OK</v>
      </c>
    </row>
    <row r="38" spans="1:6" x14ac:dyDescent="0.25">
      <c r="A38" s="5" t="s">
        <v>60</v>
      </c>
      <c r="B38" s="5">
        <f>'Método Área Nodal'!F38</f>
        <v>0.3708117119051208</v>
      </c>
      <c r="C38" s="5">
        <f>'Método Linear'!F40</f>
        <v>0.39627127503763893</v>
      </c>
      <c r="D38" s="5">
        <f t="shared" si="3"/>
        <v>-2.5459563132518126E-2</v>
      </c>
      <c r="E38" s="5">
        <f t="shared" si="4"/>
        <v>6.8659004867226088</v>
      </c>
      <c r="F38" s="5" t="str">
        <f t="shared" si="5"/>
        <v>✅ OK</v>
      </c>
    </row>
    <row r="39" spans="1:6" x14ac:dyDescent="0.25">
      <c r="A39" s="6" t="s">
        <v>61</v>
      </c>
      <c r="B39" s="6">
        <f>'Método Área Nodal'!F39</f>
        <v>0.46515119158489338</v>
      </c>
      <c r="C39" s="6">
        <f>'Método Linear'!F41</f>
        <v>0.46699996482462075</v>
      </c>
      <c r="D39" s="6">
        <f t="shared" si="3"/>
        <v>-1.8487732397273748E-3</v>
      </c>
      <c r="E39" s="6">
        <f t="shared" si="4"/>
        <v>0.39745641270489163</v>
      </c>
      <c r="F39" s="6" t="str">
        <f t="shared" si="5"/>
        <v>✅ OK</v>
      </c>
    </row>
    <row r="40" spans="1:6" x14ac:dyDescent="0.25">
      <c r="A40" s="5" t="s">
        <v>62</v>
      </c>
      <c r="B40" s="5">
        <f>'Método Área Nodal'!F40</f>
        <v>0.80294274813156574</v>
      </c>
      <c r="C40" s="5">
        <f>'Método Linear'!F42</f>
        <v>0.69662994134413581</v>
      </c>
      <c r="D40" s="5">
        <f t="shared" si="3"/>
        <v>0.10631280678742994</v>
      </c>
      <c r="E40" s="5">
        <f t="shared" si="4"/>
        <v>13.240396906855196</v>
      </c>
      <c r="F40" s="5" t="str">
        <f t="shared" si="5"/>
        <v>✅ OK</v>
      </c>
    </row>
    <row r="41" spans="1:6" x14ac:dyDescent="0.25">
      <c r="A41" s="6" t="s">
        <v>63</v>
      </c>
      <c r="B41" s="6">
        <f>'Método Área Nodal'!F41</f>
        <v>0.63916122950266774</v>
      </c>
      <c r="C41" s="6">
        <f>'Método Linear'!F43</f>
        <v>0.672283560988715</v>
      </c>
      <c r="D41" s="6">
        <f t="shared" si="3"/>
        <v>-3.3122331486047263E-2</v>
      </c>
      <c r="E41" s="6">
        <f t="shared" si="4"/>
        <v>5.1821559189095057</v>
      </c>
      <c r="F41" s="6" t="str">
        <f t="shared" si="5"/>
        <v>✅ OK</v>
      </c>
    </row>
    <row r="42" spans="1:6" x14ac:dyDescent="0.25">
      <c r="A42" s="5" t="s">
        <v>64</v>
      </c>
      <c r="B42" s="5">
        <f>'Método Área Nodal'!F42</f>
        <v>0.45337462130192924</v>
      </c>
      <c r="C42" s="5">
        <f>'Método Linear'!F44</f>
        <v>0.56851541790801852</v>
      </c>
      <c r="D42" s="5">
        <f t="shared" si="3"/>
        <v>-0.11514079660608928</v>
      </c>
      <c r="E42" s="5">
        <f t="shared" si="4"/>
        <v>25.396392121695349</v>
      </c>
      <c r="F42" s="5" t="str">
        <f t="shared" si="5"/>
        <v>⚠️ Moderado</v>
      </c>
    </row>
    <row r="43" spans="1:6" x14ac:dyDescent="0.25">
      <c r="A43" s="6" t="s">
        <v>65</v>
      </c>
      <c r="B43" s="6">
        <f>'Método Área Nodal'!F43</f>
        <v>0.53491479259712893</v>
      </c>
      <c r="C43" s="6">
        <f>'Método Linear'!F45</f>
        <v>0.55557689074404637</v>
      </c>
      <c r="D43" s="6">
        <f t="shared" si="3"/>
        <v>-2.066209814691744E-2</v>
      </c>
      <c r="E43" s="6">
        <f t="shared" si="4"/>
        <v>3.8626896157794426</v>
      </c>
      <c r="F43" s="6" t="str">
        <f t="shared" si="5"/>
        <v>✅ OK</v>
      </c>
    </row>
    <row r="44" spans="1:6" x14ac:dyDescent="0.25">
      <c r="A44" s="5" t="s">
        <v>66</v>
      </c>
      <c r="B44" s="5">
        <f>'Método Área Nodal'!F44</f>
        <v>0.25715460471015544</v>
      </c>
      <c r="C44" s="5">
        <f>'Método Linear'!F46</f>
        <v>0.33882768010652131</v>
      </c>
      <c r="D44" s="5">
        <f t="shared" si="3"/>
        <v>-8.1673075396365868E-2</v>
      </c>
      <c r="E44" s="5">
        <f t="shared" si="4"/>
        <v>31.760300574209577</v>
      </c>
      <c r="F44" s="5" t="str">
        <f t="shared" si="5"/>
        <v>⚠️ Moderado</v>
      </c>
    </row>
    <row r="45" spans="1:6" x14ac:dyDescent="0.25">
      <c r="A45" s="6" t="s">
        <v>67</v>
      </c>
      <c r="B45" s="6">
        <f>'Método Área Nodal'!F45</f>
        <v>0.46964110860414249</v>
      </c>
      <c r="C45" s="6">
        <f>'Método Linear'!F47</f>
        <v>0.48158468852508046</v>
      </c>
      <c r="D45" s="6">
        <f t="shared" si="3"/>
        <v>-1.1943579920937974E-2</v>
      </c>
      <c r="E45" s="6">
        <f t="shared" si="4"/>
        <v>2.543129147368814</v>
      </c>
      <c r="F45" s="6" t="str">
        <f t="shared" si="5"/>
        <v>✅ OK</v>
      </c>
    </row>
    <row r="46" spans="1:6" x14ac:dyDescent="0.25">
      <c r="A46" s="5" t="s">
        <v>68</v>
      </c>
      <c r="B46" s="5">
        <f>'Método Área Nodal'!F46</f>
        <v>0.40856195984145988</v>
      </c>
      <c r="C46" s="5">
        <f>'Método Linear'!F48</f>
        <v>0.56577175701387261</v>
      </c>
      <c r="D46" s="5">
        <f t="shared" si="3"/>
        <v>-0.15720979717241274</v>
      </c>
      <c r="E46" s="5">
        <f t="shared" si="4"/>
        <v>38.47881413957802</v>
      </c>
      <c r="F46" s="5" t="str">
        <f t="shared" si="5"/>
        <v>⚠️ Moderado</v>
      </c>
    </row>
    <row r="47" spans="1:6" x14ac:dyDescent="0.25">
      <c r="A47" s="6" t="s">
        <v>69</v>
      </c>
      <c r="B47" s="6">
        <f>'Método Área Nodal'!F47</f>
        <v>0.21861382632132093</v>
      </c>
      <c r="C47" s="6">
        <f>'Método Linear'!F49</f>
        <v>0.32620683999345029</v>
      </c>
      <c r="D47" s="6">
        <f t="shared" si="3"/>
        <v>-0.10759301367212937</v>
      </c>
      <c r="E47" s="6">
        <f t="shared" si="4"/>
        <v>49.216015053863984</v>
      </c>
      <c r="F47" s="6" t="str">
        <f t="shared" si="5"/>
        <v>⚠️ Moderado</v>
      </c>
    </row>
    <row r="48" spans="1:6" x14ac:dyDescent="0.25">
      <c r="A48" s="5" t="s">
        <v>70</v>
      </c>
      <c r="B48" s="5">
        <f>'Método Área Nodal'!F48</f>
        <v>0.75461680770547013</v>
      </c>
      <c r="C48" s="5">
        <f>'Método Linear'!F50</f>
        <v>0.49434993184310649</v>
      </c>
      <c r="D48" s="5">
        <f t="shared" si="3"/>
        <v>0.26026687586236363</v>
      </c>
      <c r="E48" s="5">
        <f t="shared" si="4"/>
        <v>34.489938894118403</v>
      </c>
      <c r="F48" s="5" t="str">
        <f t="shared" si="5"/>
        <v>⚠️ Moderado</v>
      </c>
    </row>
    <row r="49" spans="1:6" x14ac:dyDescent="0.25">
      <c r="A49" s="6" t="s">
        <v>71</v>
      </c>
      <c r="B49" s="6">
        <f>'Método Área Nodal'!F49</f>
        <v>0.44790237486510825</v>
      </c>
      <c r="C49" s="6">
        <f>'Método Linear'!F51</f>
        <v>0.46509384251921398</v>
      </c>
      <c r="D49" s="6">
        <f t="shared" si="3"/>
        <v>-1.719146765410573E-2</v>
      </c>
      <c r="E49" s="6">
        <f t="shared" si="4"/>
        <v>3.8382175712471205</v>
      </c>
      <c r="F49" s="6" t="str">
        <f t="shared" si="5"/>
        <v>✅ OK</v>
      </c>
    </row>
    <row r="50" spans="1:6" x14ac:dyDescent="0.25">
      <c r="A50" s="5" t="s">
        <v>72</v>
      </c>
      <c r="B50" s="5">
        <f>'Método Área Nodal'!F50</f>
        <v>0.93813199255422219</v>
      </c>
      <c r="C50" s="5">
        <f>'Método Linear'!F52</f>
        <v>0.71537347734730083</v>
      </c>
      <c r="D50" s="5">
        <f t="shared" si="3"/>
        <v>0.22275851520692136</v>
      </c>
      <c r="E50" s="5">
        <f t="shared" si="4"/>
        <v>23.744901247896237</v>
      </c>
      <c r="F50" s="5" t="str">
        <f t="shared" si="5"/>
        <v>⚠️ Moderado</v>
      </c>
    </row>
    <row r="51" spans="1:6" x14ac:dyDescent="0.25">
      <c r="A51" s="6" t="s">
        <v>73</v>
      </c>
      <c r="B51" s="6">
        <f>'Método Área Nodal'!F51</f>
        <v>5.6404831551490647E-2</v>
      </c>
      <c r="C51" s="6">
        <f>'Método Linear'!F53</f>
        <v>0.21507413346004639</v>
      </c>
      <c r="D51" s="6">
        <f t="shared" si="3"/>
        <v>-0.15866930190855574</v>
      </c>
      <c r="E51" s="6">
        <f t="shared" si="4"/>
        <v>281.30445131054114</v>
      </c>
      <c r="F51" s="6" t="str">
        <f t="shared" si="5"/>
        <v>❌ Divergente</v>
      </c>
    </row>
    <row r="52" spans="1:6" x14ac:dyDescent="0.25">
      <c r="A52" s="5" t="s">
        <v>74</v>
      </c>
      <c r="B52" s="5">
        <f>'Método Área Nodal'!F52</f>
        <v>5.7387730105457335E-2</v>
      </c>
      <c r="C52" s="5">
        <f>'Método Linear'!F54</f>
        <v>0.14968836225640131</v>
      </c>
      <c r="D52" s="5">
        <f t="shared" si="3"/>
        <v>-9.2300632150943973E-2</v>
      </c>
      <c r="E52" s="5">
        <f t="shared" si="4"/>
        <v>160.83687572470578</v>
      </c>
      <c r="F52" s="5" t="str">
        <f t="shared" si="5"/>
        <v>❌ Divergente</v>
      </c>
    </row>
    <row r="53" spans="1:6" x14ac:dyDescent="0.25">
      <c r="A53" s="6" t="s">
        <v>75</v>
      </c>
      <c r="B53" s="6">
        <f>'Método Área Nodal'!F53</f>
        <v>7.1353768099544773E-2</v>
      </c>
      <c r="C53" s="6">
        <f>'Método Linear'!F55</f>
        <v>0.16176047019064321</v>
      </c>
      <c r="D53" s="6">
        <f t="shared" si="3"/>
        <v>-9.040670209109844E-2</v>
      </c>
      <c r="E53" s="6">
        <f t="shared" si="4"/>
        <v>126.7020712416661</v>
      </c>
      <c r="F53" s="6" t="str">
        <f t="shared" si="5"/>
        <v>❌ Divergente</v>
      </c>
    </row>
    <row r="54" spans="1:6" x14ac:dyDescent="0.25">
      <c r="A54" s="5" t="s">
        <v>76</v>
      </c>
      <c r="B54" s="5">
        <f>'Método Área Nodal'!F54</f>
        <v>8.4940192118243801E-2</v>
      </c>
      <c r="C54" s="5">
        <f>'Método Linear'!F56</f>
        <v>0.17677840350596807</v>
      </c>
      <c r="D54" s="5">
        <f t="shared" si="3"/>
        <v>-9.1838211387724272E-2</v>
      </c>
      <c r="E54" s="5">
        <f t="shared" si="4"/>
        <v>108.12103092476863</v>
      </c>
      <c r="F54" s="5" t="str">
        <f t="shared" si="5"/>
        <v>❌ Divergente</v>
      </c>
    </row>
    <row r="55" spans="1:6" x14ac:dyDescent="0.25">
      <c r="A55" s="6" t="s">
        <v>77</v>
      </c>
      <c r="B55" s="6">
        <f>'Método Área Nodal'!F55</f>
        <v>6.8005538688435244E-2</v>
      </c>
      <c r="C55" s="6">
        <f>'Método Linear'!F57</f>
        <v>0.12589071407980965</v>
      </c>
      <c r="D55" s="6">
        <f t="shared" si="3"/>
        <v>-5.7885175391374402E-2</v>
      </c>
      <c r="E55" s="6">
        <f t="shared" si="4"/>
        <v>85.118324930228255</v>
      </c>
      <c r="F55" s="6" t="str">
        <f t="shared" si="5"/>
        <v>❌ Divergente</v>
      </c>
    </row>
    <row r="56" spans="1:6" x14ac:dyDescent="0.25">
      <c r="A56" s="5" t="s">
        <v>78</v>
      </c>
      <c r="B56" s="5">
        <f>'Método Área Nodal'!F56</f>
        <v>0.16589130724473736</v>
      </c>
      <c r="C56" s="5">
        <f>'Método Linear'!F58</f>
        <v>0.19069887246363457</v>
      </c>
      <c r="D56" s="5">
        <f t="shared" si="3"/>
        <v>-2.480756521889721E-2</v>
      </c>
      <c r="E56" s="5">
        <f t="shared" si="4"/>
        <v>14.95410798246283</v>
      </c>
      <c r="F56" s="5" t="str">
        <f t="shared" si="5"/>
        <v>✅ OK</v>
      </c>
    </row>
    <row r="57" spans="1:6" x14ac:dyDescent="0.25">
      <c r="A57" s="6" t="s">
        <v>79</v>
      </c>
      <c r="B57" s="6">
        <f>'Método Área Nodal'!F57</f>
        <v>0.13970420344328044</v>
      </c>
      <c r="C57" s="6">
        <f>'Método Linear'!F59</f>
        <v>0.25542038892448643</v>
      </c>
      <c r="D57" s="6">
        <f t="shared" si="3"/>
        <v>-0.11571618548120599</v>
      </c>
      <c r="E57" s="6">
        <f t="shared" si="4"/>
        <v>82.829422901499498</v>
      </c>
      <c r="F57" s="6" t="str">
        <f t="shared" si="5"/>
        <v>❌ Divergente</v>
      </c>
    </row>
    <row r="58" spans="1:6" x14ac:dyDescent="0.25">
      <c r="A58" s="5" t="s">
        <v>80</v>
      </c>
      <c r="B58" s="5">
        <f>'Método Área Nodal'!F58</f>
        <v>0.1746873102276878</v>
      </c>
      <c r="C58" s="5">
        <f>'Método Linear'!F60</f>
        <v>0.21839540717401248</v>
      </c>
      <c r="D58" s="5">
        <f t="shared" si="3"/>
        <v>-4.3708096946324687E-2</v>
      </c>
      <c r="E58" s="5">
        <f t="shared" si="4"/>
        <v>25.020762463716146</v>
      </c>
      <c r="F58" s="5" t="str">
        <f t="shared" si="5"/>
        <v>⚠️ Moderado</v>
      </c>
    </row>
    <row r="59" spans="1:6" x14ac:dyDescent="0.25">
      <c r="A59" s="6" t="s">
        <v>81</v>
      </c>
      <c r="B59" s="6">
        <f>'Método Área Nodal'!F59</f>
        <v>0.14553898976364329</v>
      </c>
      <c r="C59" s="6">
        <f>'Método Linear'!F61</f>
        <v>0.23546386599969898</v>
      </c>
      <c r="D59" s="6">
        <f t="shared" si="3"/>
        <v>-8.992487623605569E-2</v>
      </c>
      <c r="E59" s="6">
        <f t="shared" si="4"/>
        <v>61.787481404189037</v>
      </c>
      <c r="F59" s="6" t="str">
        <f t="shared" si="5"/>
        <v>❌ Divergente</v>
      </c>
    </row>
    <row r="60" spans="1:6" x14ac:dyDescent="0.25">
      <c r="A60" s="5" t="s">
        <v>82</v>
      </c>
      <c r="B60" s="5">
        <f>'Método Área Nodal'!F60</f>
        <v>0.14130518412209248</v>
      </c>
      <c r="C60" s="5">
        <f>'Método Linear'!F62</f>
        <v>0.17423690709875922</v>
      </c>
      <c r="D60" s="5">
        <f t="shared" si="3"/>
        <v>-3.2931722976666744E-2</v>
      </c>
      <c r="E60" s="5">
        <f t="shared" si="4"/>
        <v>23.305389098967961</v>
      </c>
      <c r="F60" s="5" t="str">
        <f t="shared" si="5"/>
        <v>⚠️ Moderado</v>
      </c>
    </row>
    <row r="61" spans="1:6" x14ac:dyDescent="0.25">
      <c r="A61" s="6" t="s">
        <v>83</v>
      </c>
      <c r="B61" s="6">
        <f>'Método Área Nodal'!F61</f>
        <v>0.14133193353265208</v>
      </c>
      <c r="C61" s="6">
        <f>'Método Linear'!F63</f>
        <v>0.25030851546907779</v>
      </c>
      <c r="D61" s="6">
        <f t="shared" si="3"/>
        <v>-0.1089765819364257</v>
      </c>
      <c r="E61" s="6">
        <f t="shared" si="4"/>
        <v>77.10683581021604</v>
      </c>
      <c r="F61" s="6" t="str">
        <f t="shared" si="5"/>
        <v>❌ Divergente</v>
      </c>
    </row>
    <row r="62" spans="1:6" x14ac:dyDescent="0.25">
      <c r="A62" s="5" t="s">
        <v>84</v>
      </c>
      <c r="B62" s="5">
        <f>'Método Área Nodal'!F62</f>
        <v>0.11960287511233078</v>
      </c>
      <c r="C62" s="5">
        <f>'Método Linear'!F64</f>
        <v>0.19757246501949474</v>
      </c>
      <c r="D62" s="5">
        <f t="shared" si="3"/>
        <v>-7.7969589907163961E-2</v>
      </c>
      <c r="E62" s="5">
        <f t="shared" si="4"/>
        <v>65.190397667225881</v>
      </c>
      <c r="F62" s="5" t="str">
        <f t="shared" si="5"/>
        <v>❌ Divergente</v>
      </c>
    </row>
    <row r="63" spans="1:6" x14ac:dyDescent="0.25">
      <c r="A63" s="6" t="s">
        <v>85</v>
      </c>
      <c r="B63" s="6">
        <f>'Método Área Nodal'!F63</f>
        <v>0.39883086576171306</v>
      </c>
      <c r="C63" s="6">
        <f>'Método Linear'!F65</f>
        <v>0.35127523637364638</v>
      </c>
      <c r="D63" s="6">
        <f t="shared" si="3"/>
        <v>4.7555629388066678E-2</v>
      </c>
      <c r="E63" s="6">
        <f t="shared" si="4"/>
        <v>11.923758532891343</v>
      </c>
      <c r="F63" s="6" t="str">
        <f t="shared" si="5"/>
        <v>✅ OK</v>
      </c>
    </row>
    <row r="64" spans="1:6" x14ac:dyDescent="0.25">
      <c r="A64" s="5" t="s">
        <v>86</v>
      </c>
      <c r="B64" s="5">
        <f>'Método Área Nodal'!F64</f>
        <v>0.32305775355588495</v>
      </c>
      <c r="C64" s="5">
        <f>'Método Linear'!F66</f>
        <v>0.25241680226142149</v>
      </c>
      <c r="D64" s="5">
        <f t="shared" si="3"/>
        <v>7.0640951294463461E-2</v>
      </c>
      <c r="E64" s="5">
        <f t="shared" si="4"/>
        <v>21.866353776351467</v>
      </c>
      <c r="F64" s="5" t="str">
        <f t="shared" si="5"/>
        <v>⚠️ Moderado</v>
      </c>
    </row>
    <row r="65" spans="1:6" x14ac:dyDescent="0.25">
      <c r="A65" s="5" t="s">
        <v>88</v>
      </c>
      <c r="B65" s="5">
        <f>'Método Área Nodal'!F65</f>
        <v>0.28071912800398147</v>
      </c>
      <c r="C65" s="5">
        <f>'Método Linear'!F68</f>
        <v>0.44170052331649662</v>
      </c>
      <c r="D65" s="5">
        <f t="shared" si="3"/>
        <v>-0.16098139531251515</v>
      </c>
      <c r="E65" s="5">
        <f t="shared" si="4"/>
        <v>57.346072730117605</v>
      </c>
      <c r="F65" s="5" t="str">
        <f t="shared" si="5"/>
        <v>❌ Divergente</v>
      </c>
    </row>
    <row r="66" spans="1:6" x14ac:dyDescent="0.25">
      <c r="A66" s="6" t="s">
        <v>89</v>
      </c>
      <c r="B66" s="6">
        <f>'Método Área Nodal'!F66</f>
        <v>0.20730963924611148</v>
      </c>
      <c r="C66" s="6">
        <f>'Método Linear'!F69</f>
        <v>0.22480690947401655</v>
      </c>
      <c r="D66" s="6">
        <f t="shared" si="3"/>
        <v>-1.7497270227905065E-2</v>
      </c>
      <c r="E66" s="6">
        <f t="shared" si="4"/>
        <v>8.4401624022570694</v>
      </c>
      <c r="F66" s="6" t="str">
        <f t="shared" si="5"/>
        <v>✅ OK</v>
      </c>
    </row>
    <row r="67" spans="1:6" x14ac:dyDescent="0.25">
      <c r="A67" s="5" t="s">
        <v>90</v>
      </c>
      <c r="B67" s="5">
        <f>'Método Área Nodal'!F67</f>
        <v>0.16636596699807157</v>
      </c>
      <c r="C67" s="5">
        <f>'Método Linear'!F70</f>
        <v>0.13588341586269881</v>
      </c>
      <c r="D67" s="5">
        <f t="shared" ref="D67:D98" si="6">B67-C67</f>
        <v>3.0482551135372765E-2</v>
      </c>
      <c r="E67" s="5">
        <f t="shared" ref="E67:E98" si="7">IF(B67=0,"-",ABS(D67/B67)*100)</f>
        <v>18.322588258526519</v>
      </c>
      <c r="F67" s="5" t="str">
        <f t="shared" ref="F67:F98" si="8">IF(B67=0,"sem área",IF(ABS(D67/B67)*100&lt;20,"✅ OK",IF(ABS(D67/B67)*100&lt;50,"⚠️ Moderado","❌ Divergente")))</f>
        <v>✅ OK</v>
      </c>
    </row>
    <row r="68" spans="1:6" x14ac:dyDescent="0.25">
      <c r="A68" s="6" t="s">
        <v>91</v>
      </c>
      <c r="B68" s="6">
        <f>'Método Área Nodal'!F68</f>
        <v>0.42677261706860103</v>
      </c>
      <c r="C68" s="6">
        <f>'Método Linear'!F71</f>
        <v>0.3609502511056345</v>
      </c>
      <c r="D68" s="6">
        <f t="shared" si="6"/>
        <v>6.5822365962966534E-2</v>
      </c>
      <c r="E68" s="6">
        <f t="shared" si="7"/>
        <v>15.423287092570421</v>
      </c>
      <c r="F68" s="6" t="str">
        <f t="shared" si="8"/>
        <v>✅ OK</v>
      </c>
    </row>
    <row r="69" spans="1:6" x14ac:dyDescent="0.25">
      <c r="A69" s="5" t="s">
        <v>92</v>
      </c>
      <c r="B69" s="5">
        <f>'Método Área Nodal'!F69</f>
        <v>0.34512943208592711</v>
      </c>
      <c r="C69" s="5">
        <f>'Método Linear'!F72</f>
        <v>0.52548326283141455</v>
      </c>
      <c r="D69" s="5">
        <f t="shared" si="6"/>
        <v>-0.18035383074548744</v>
      </c>
      <c r="E69" s="5">
        <f t="shared" si="7"/>
        <v>52.256867707702369</v>
      </c>
      <c r="F69" s="5" t="str">
        <f t="shared" si="8"/>
        <v>❌ Divergente</v>
      </c>
    </row>
    <row r="70" spans="1:6" x14ac:dyDescent="0.25">
      <c r="A70" s="6" t="s">
        <v>93</v>
      </c>
      <c r="B70" s="6">
        <f>'Método Área Nodal'!F70</f>
        <v>0.5592015499760643</v>
      </c>
      <c r="C70" s="6">
        <f>'Método Linear'!F73</f>
        <v>0.52935326872420974</v>
      </c>
      <c r="D70" s="6">
        <f t="shared" si="6"/>
        <v>2.9848281251854569E-2</v>
      </c>
      <c r="E70" s="6">
        <f t="shared" si="7"/>
        <v>5.3376606794334123</v>
      </c>
      <c r="F70" s="6" t="str">
        <f t="shared" si="8"/>
        <v>✅ OK</v>
      </c>
    </row>
    <row r="71" spans="1:6" x14ac:dyDescent="0.25">
      <c r="A71" s="5" t="s">
        <v>94</v>
      </c>
      <c r="B71" s="5">
        <f>'Método Área Nodal'!F71</f>
        <v>0.49381802265886504</v>
      </c>
      <c r="C71" s="5">
        <f>'Método Linear'!F74</f>
        <v>0.42503639346468408</v>
      </c>
      <c r="D71" s="5">
        <f t="shared" si="6"/>
        <v>6.878162919418096E-2</v>
      </c>
      <c r="E71" s="5">
        <f t="shared" si="7"/>
        <v>13.928537647095169</v>
      </c>
      <c r="F71" s="5" t="str">
        <f t="shared" si="8"/>
        <v>✅ OK</v>
      </c>
    </row>
    <row r="72" spans="1:6" x14ac:dyDescent="0.25">
      <c r="A72" s="6" t="s">
        <v>95</v>
      </c>
      <c r="B72" s="6">
        <f>'Método Área Nodal'!F72</f>
        <v>0.31374326731719404</v>
      </c>
      <c r="C72" s="6">
        <f>'Método Linear'!F75</f>
        <v>0.27563683761819285</v>
      </c>
      <c r="D72" s="6">
        <f t="shared" si="6"/>
        <v>3.8106429699001187E-2</v>
      </c>
      <c r="E72" s="6">
        <f t="shared" si="7"/>
        <v>12.145736233592428</v>
      </c>
      <c r="F72" s="6" t="str">
        <f t="shared" si="8"/>
        <v>✅ OK</v>
      </c>
    </row>
    <row r="73" spans="1:6" x14ac:dyDescent="0.25">
      <c r="A73" s="5" t="s">
        <v>96</v>
      </c>
      <c r="B73" s="5">
        <f>'Método Área Nodal'!F73</f>
        <v>0.19510166357582437</v>
      </c>
      <c r="C73" s="5">
        <f>'Método Linear'!F76</f>
        <v>0.25339874405511575</v>
      </c>
      <c r="D73" s="5">
        <f t="shared" si="6"/>
        <v>-5.8297080479291385E-2</v>
      </c>
      <c r="E73" s="5">
        <f t="shared" si="7"/>
        <v>29.880360531438928</v>
      </c>
      <c r="F73" s="5" t="str">
        <f t="shared" si="8"/>
        <v>⚠️ Moderado</v>
      </c>
    </row>
    <row r="74" spans="1:6" x14ac:dyDescent="0.25">
      <c r="A74" s="6" t="s">
        <v>97</v>
      </c>
      <c r="B74" s="6">
        <f>'Método Área Nodal'!F74</f>
        <v>0.17935707434772069</v>
      </c>
      <c r="C74" s="6">
        <f>'Método Linear'!F77</f>
        <v>0.26035897853394896</v>
      </c>
      <c r="D74" s="6">
        <f t="shared" si="6"/>
        <v>-8.1001904186228268E-2</v>
      </c>
      <c r="E74" s="6">
        <f t="shared" si="7"/>
        <v>45.162369246272029</v>
      </c>
      <c r="F74" s="6" t="str">
        <f t="shared" si="8"/>
        <v>⚠️ Moderado</v>
      </c>
    </row>
    <row r="75" spans="1:6" x14ac:dyDescent="0.25">
      <c r="A75" s="5" t="s">
        <v>98</v>
      </c>
      <c r="B75" s="5">
        <f>'Método Área Nodal'!F75</f>
        <v>0.27081046336903059</v>
      </c>
      <c r="C75" s="5">
        <f>'Método Linear'!F78</f>
        <v>0.22258310011770879</v>
      </c>
      <c r="D75" s="5">
        <f t="shared" si="6"/>
        <v>4.8227363251321792E-2</v>
      </c>
      <c r="E75" s="5">
        <f t="shared" si="7"/>
        <v>17.808530235998624</v>
      </c>
      <c r="F75" s="5" t="str">
        <f t="shared" si="8"/>
        <v>✅ OK</v>
      </c>
    </row>
    <row r="76" spans="1:6" x14ac:dyDescent="0.25">
      <c r="A76" s="6" t="s">
        <v>99</v>
      </c>
      <c r="B76" s="6">
        <f>'Método Área Nodal'!F76</f>
        <v>0.56504885729711463</v>
      </c>
      <c r="C76" s="6">
        <f>'Método Linear'!F79</f>
        <v>0.48897813261877876</v>
      </c>
      <c r="D76" s="6">
        <f t="shared" si="6"/>
        <v>7.6070724678335866E-2</v>
      </c>
      <c r="E76" s="6">
        <f t="shared" si="7"/>
        <v>13.46268091616302</v>
      </c>
      <c r="F76" s="6" t="str">
        <f t="shared" si="8"/>
        <v>✅ OK</v>
      </c>
    </row>
    <row r="77" spans="1:6" x14ac:dyDescent="0.25">
      <c r="A77" s="5" t="s">
        <v>100</v>
      </c>
      <c r="B77" s="5">
        <f>'Método Área Nodal'!F77</f>
        <v>0.65085015278081959</v>
      </c>
      <c r="C77" s="5">
        <f>'Método Linear'!F80</f>
        <v>0.56039995778954488</v>
      </c>
      <c r="D77" s="5">
        <f t="shared" si="6"/>
        <v>9.0450194991274713E-2</v>
      </c>
      <c r="E77" s="5">
        <f t="shared" si="7"/>
        <v>13.897238036254212</v>
      </c>
      <c r="F77" s="5" t="str">
        <f t="shared" si="8"/>
        <v>✅ OK</v>
      </c>
    </row>
    <row r="78" spans="1:6" x14ac:dyDescent="0.25">
      <c r="A78" s="6" t="s">
        <v>101</v>
      </c>
      <c r="B78" s="6">
        <f>'Método Área Nodal'!F78</f>
        <v>0.37638469548383646</v>
      </c>
      <c r="C78" s="6">
        <f>'Método Linear'!F81</f>
        <v>0.47338258648363368</v>
      </c>
      <c r="D78" s="6">
        <f t="shared" si="6"/>
        <v>-9.6997890999797221E-2</v>
      </c>
      <c r="E78" s="6">
        <f t="shared" si="7"/>
        <v>25.770944505357214</v>
      </c>
      <c r="F78" s="6" t="str">
        <f t="shared" si="8"/>
        <v>⚠️ Moderado</v>
      </c>
    </row>
    <row r="79" spans="1:6" x14ac:dyDescent="0.25">
      <c r="A79" s="5" t="s">
        <v>102</v>
      </c>
      <c r="B79" s="5">
        <f>'Método Área Nodal'!F79</f>
        <v>0.33764699590237152</v>
      </c>
      <c r="C79" s="5">
        <f>'Método Linear'!F82</f>
        <v>0.35580949700923475</v>
      </c>
      <c r="D79" s="5">
        <f t="shared" si="6"/>
        <v>-1.8162501106863238E-2</v>
      </c>
      <c r="E79" s="5">
        <f t="shared" si="7"/>
        <v>5.3791389608912175</v>
      </c>
      <c r="F79" s="5" t="str">
        <f t="shared" si="8"/>
        <v>✅ OK</v>
      </c>
    </row>
    <row r="80" spans="1:6" x14ac:dyDescent="0.25">
      <c r="A80" s="6" t="s">
        <v>103</v>
      </c>
      <c r="B80" s="6">
        <f>'Método Área Nodal'!F80</f>
        <v>0.29377796258462191</v>
      </c>
      <c r="C80" s="6">
        <f>'Método Linear'!F83</f>
        <v>0.28557177811910017</v>
      </c>
      <c r="D80" s="6">
        <f t="shared" si="6"/>
        <v>8.2061844655217375E-3</v>
      </c>
      <c r="E80" s="6">
        <f t="shared" si="7"/>
        <v>2.7933288097326119</v>
      </c>
      <c r="F80" s="6" t="str">
        <f t="shared" si="8"/>
        <v>✅ OK</v>
      </c>
    </row>
    <row r="81" spans="1:6" x14ac:dyDescent="0.25">
      <c r="A81" s="5" t="s">
        <v>104</v>
      </c>
      <c r="B81" s="5">
        <f>'Método Área Nodal'!F81</f>
        <v>0.42329860851422196</v>
      </c>
      <c r="C81" s="5">
        <f>'Método Linear'!F84</f>
        <v>0.42061765539305968</v>
      </c>
      <c r="D81" s="5">
        <f t="shared" si="6"/>
        <v>2.6809531211622883E-3</v>
      </c>
      <c r="E81" s="5">
        <f t="shared" si="7"/>
        <v>0.63334796458992237</v>
      </c>
      <c r="F81" s="5" t="str">
        <f t="shared" si="8"/>
        <v>✅ OK</v>
      </c>
    </row>
    <row r="82" spans="1:6" x14ac:dyDescent="0.25">
      <c r="A82" s="6" t="s">
        <v>105</v>
      </c>
      <c r="B82" s="6">
        <f>'Método Área Nodal'!F82</f>
        <v>0.28154380664017009</v>
      </c>
      <c r="C82" s="6">
        <f>'Método Linear'!F85</f>
        <v>0.3000698598965868</v>
      </c>
      <c r="D82" s="6">
        <f t="shared" si="6"/>
        <v>-1.8526053256416708E-2</v>
      </c>
      <c r="E82" s="6">
        <f t="shared" si="7"/>
        <v>6.5801672135853861</v>
      </c>
      <c r="F82" s="6" t="str">
        <f t="shared" si="8"/>
        <v>✅ OK</v>
      </c>
    </row>
    <row r="83" spans="1:6" x14ac:dyDescent="0.25">
      <c r="A83" s="5" t="s">
        <v>106</v>
      </c>
      <c r="B83" s="5">
        <f>'Método Área Nodal'!F83</f>
        <v>0.36899332112346267</v>
      </c>
      <c r="C83" s="5">
        <f>'Método Linear'!F86</f>
        <v>0.30890733603983572</v>
      </c>
      <c r="D83" s="5">
        <f t="shared" si="6"/>
        <v>6.0085985083626947E-2</v>
      </c>
      <c r="E83" s="5">
        <f t="shared" si="7"/>
        <v>16.283759527322879</v>
      </c>
      <c r="F83" s="5" t="str">
        <f t="shared" si="8"/>
        <v>✅ OK</v>
      </c>
    </row>
    <row r="84" spans="1:6" x14ac:dyDescent="0.25">
      <c r="A84" s="6" t="s">
        <v>107</v>
      </c>
      <c r="B84" s="6">
        <f>'Método Área Nodal'!F84</f>
        <v>8.0948269444519133E-2</v>
      </c>
      <c r="C84" s="6">
        <f>'Método Linear'!F87</f>
        <v>0.18483610234245967</v>
      </c>
      <c r="D84" s="6">
        <f t="shared" si="6"/>
        <v>-0.10388783289794054</v>
      </c>
      <c r="E84" s="6">
        <f t="shared" si="7"/>
        <v>128.33854708795704</v>
      </c>
      <c r="F84" s="6" t="str">
        <f t="shared" si="8"/>
        <v>❌ Divergente</v>
      </c>
    </row>
    <row r="85" spans="1:6" x14ac:dyDescent="0.25">
      <c r="A85" s="5" t="s">
        <v>108</v>
      </c>
      <c r="B85" s="5">
        <f>'Método Área Nodal'!F85</f>
        <v>3.6252850081396198E-2</v>
      </c>
      <c r="C85" s="5">
        <f>'Método Linear'!F88</f>
        <v>0.11534928011809122</v>
      </c>
      <c r="D85" s="5">
        <f t="shared" si="6"/>
        <v>-7.9096430036695017E-2</v>
      </c>
      <c r="E85" s="5">
        <f t="shared" si="7"/>
        <v>218.17989443341662</v>
      </c>
      <c r="F85" s="5" t="str">
        <f t="shared" si="8"/>
        <v>❌ Divergente</v>
      </c>
    </row>
    <row r="86" spans="1:6" x14ac:dyDescent="0.25">
      <c r="A86" s="6" t="s">
        <v>109</v>
      </c>
      <c r="B86" s="6">
        <f>'Método Área Nodal'!F86</f>
        <v>5.2676988164992708E-2</v>
      </c>
      <c r="C86" s="6">
        <f>'Método Linear'!F89</f>
        <v>0.16794092736271918</v>
      </c>
      <c r="D86" s="6">
        <f t="shared" si="6"/>
        <v>-0.11526393919772647</v>
      </c>
      <c r="E86" s="6">
        <f t="shared" si="7"/>
        <v>218.81269832037754</v>
      </c>
      <c r="F86" s="6" t="str">
        <f t="shared" si="8"/>
        <v>❌ Divergente</v>
      </c>
    </row>
    <row r="87" spans="1:6" x14ac:dyDescent="0.25">
      <c r="A87" s="5" t="s">
        <v>110</v>
      </c>
      <c r="B87" s="5">
        <f>'Método Área Nodal'!F87</f>
        <v>0.25574940695118398</v>
      </c>
      <c r="C87" s="5">
        <f>'Método Linear'!F90</f>
        <v>0.24921105111141947</v>
      </c>
      <c r="D87" s="5">
        <f t="shared" si="6"/>
        <v>6.5383558397645036E-3</v>
      </c>
      <c r="E87" s="5">
        <f t="shared" si="7"/>
        <v>2.5565478011108382</v>
      </c>
      <c r="F87" s="5" t="str">
        <f t="shared" si="8"/>
        <v>✅ OK</v>
      </c>
    </row>
    <row r="88" spans="1:6" x14ac:dyDescent="0.25">
      <c r="A88" s="6" t="s">
        <v>111</v>
      </c>
      <c r="B88" s="6">
        <f>'Método Área Nodal'!F88</f>
        <v>8.9691342742745289E-2</v>
      </c>
      <c r="C88" s="6">
        <f>'Método Linear'!F91</f>
        <v>0.16167382826767018</v>
      </c>
      <c r="D88" s="6">
        <f t="shared" si="6"/>
        <v>-7.1982485524924894E-2</v>
      </c>
      <c r="E88" s="6">
        <f t="shared" si="7"/>
        <v>80.255778677978611</v>
      </c>
      <c r="F88" s="6" t="str">
        <f t="shared" si="8"/>
        <v>❌ Divergente</v>
      </c>
    </row>
    <row r="89" spans="1:6" x14ac:dyDescent="0.25">
      <c r="A89" s="5" t="s">
        <v>112</v>
      </c>
      <c r="B89" s="5">
        <f>'Método Área Nodal'!F89</f>
        <v>0.24511338600356972</v>
      </c>
      <c r="C89" s="5">
        <f>'Método Linear'!F92</f>
        <v>0.25611352430827067</v>
      </c>
      <c r="D89" s="5">
        <f t="shared" si="6"/>
        <v>-1.1000138304700952E-2</v>
      </c>
      <c r="E89" s="5">
        <f t="shared" si="7"/>
        <v>4.4877754267328145</v>
      </c>
      <c r="F89" s="5" t="str">
        <f t="shared" si="8"/>
        <v>✅ OK</v>
      </c>
    </row>
    <row r="90" spans="1:6" x14ac:dyDescent="0.25">
      <c r="A90" s="6" t="s">
        <v>113</v>
      </c>
      <c r="B90" s="6">
        <f>'Método Área Nodal'!F90</f>
        <v>0.26690618770011815</v>
      </c>
      <c r="C90" s="6">
        <f>'Método Linear'!F93</f>
        <v>0.38391036069348694</v>
      </c>
      <c r="D90" s="6">
        <f t="shared" si="6"/>
        <v>-0.11700417299336879</v>
      </c>
      <c r="E90" s="6">
        <f t="shared" si="7"/>
        <v>43.837190138442416</v>
      </c>
      <c r="F90" s="6" t="str">
        <f t="shared" si="8"/>
        <v>⚠️ Moderado</v>
      </c>
    </row>
    <row r="91" spans="1:6" x14ac:dyDescent="0.25">
      <c r="A91" s="5" t="s">
        <v>114</v>
      </c>
      <c r="B91" s="5">
        <f>'Método Área Nodal'!F91</f>
        <v>0.11206067960731239</v>
      </c>
      <c r="C91" s="5">
        <f>'Método Linear'!F94</f>
        <v>0.31739824449119247</v>
      </c>
      <c r="D91" s="5">
        <f t="shared" si="6"/>
        <v>-0.20533756488388008</v>
      </c>
      <c r="E91" s="5">
        <f t="shared" si="7"/>
        <v>183.23783650378738</v>
      </c>
      <c r="F91" s="5" t="str">
        <f t="shared" si="8"/>
        <v>❌ Divergente</v>
      </c>
    </row>
    <row r="92" spans="1:6" x14ac:dyDescent="0.25">
      <c r="A92" s="6" t="s">
        <v>115</v>
      </c>
      <c r="B92" s="6">
        <f>'Método Área Nodal'!F92</f>
        <v>0.14311788353980176</v>
      </c>
      <c r="C92" s="6">
        <f>'Método Linear'!F95</f>
        <v>0.24837351252268014</v>
      </c>
      <c r="D92" s="6">
        <f t="shared" si="6"/>
        <v>-0.10525562898287838</v>
      </c>
      <c r="E92" s="6">
        <f t="shared" si="7"/>
        <v>73.544707607142811</v>
      </c>
      <c r="F92" s="6" t="str">
        <f t="shared" si="8"/>
        <v>❌ Divergente</v>
      </c>
    </row>
    <row r="93" spans="1:6" x14ac:dyDescent="0.25">
      <c r="A93" s="5" t="s">
        <v>116</v>
      </c>
      <c r="B93" s="5">
        <f>'Método Área Nodal'!F93</f>
        <v>0.11591202559150041</v>
      </c>
      <c r="C93" s="5">
        <f>'Método Linear'!F96</f>
        <v>0.22356504191140308</v>
      </c>
      <c r="D93" s="5">
        <f t="shared" si="6"/>
        <v>-0.10765301631990268</v>
      </c>
      <c r="E93" s="5">
        <f t="shared" si="7"/>
        <v>92.874760638982963</v>
      </c>
      <c r="F93" s="5" t="str">
        <f t="shared" si="8"/>
        <v>❌ Divergente</v>
      </c>
    </row>
    <row r="94" spans="1:6" x14ac:dyDescent="0.25">
      <c r="A94" s="6" t="s">
        <v>117</v>
      </c>
      <c r="B94" s="6">
        <f>'Método Área Nodal'!F94</f>
        <v>0.29671527551862442</v>
      </c>
      <c r="C94" s="6">
        <f>'Método Linear'!F97</f>
        <v>0.3605459221317604</v>
      </c>
      <c r="D94" s="6">
        <f t="shared" si="6"/>
        <v>-6.3830646613135977E-2</v>
      </c>
      <c r="E94" s="6">
        <f t="shared" si="7"/>
        <v>21.512423484624204</v>
      </c>
      <c r="F94" s="6" t="str">
        <f t="shared" si="8"/>
        <v>⚠️ Moderado</v>
      </c>
    </row>
    <row r="95" spans="1:6" x14ac:dyDescent="0.25">
      <c r="A95" s="5" t="s">
        <v>118</v>
      </c>
      <c r="B95" s="5">
        <f>'Método Área Nodal'!F95</f>
        <v>0.1758614386103359</v>
      </c>
      <c r="C95" s="5">
        <f>'Método Linear'!F98</f>
        <v>0.213774504615451</v>
      </c>
      <c r="D95" s="5">
        <f t="shared" si="6"/>
        <v>-3.7913066005115098E-2</v>
      </c>
      <c r="E95" s="5">
        <f t="shared" si="7"/>
        <v>21.558487354991325</v>
      </c>
      <c r="F95" s="5" t="str">
        <f t="shared" si="8"/>
        <v>⚠️ Moderado</v>
      </c>
    </row>
    <row r="96" spans="1:6" x14ac:dyDescent="0.25">
      <c r="A96" s="6" t="s">
        <v>119</v>
      </c>
      <c r="B96" s="6">
        <f>'Método Área Nodal'!F96</f>
        <v>0.24480377580475218</v>
      </c>
      <c r="C96" s="6">
        <f>'Método Linear'!F99</f>
        <v>0.36828593391735087</v>
      </c>
      <c r="D96" s="6">
        <f t="shared" si="6"/>
        <v>-0.12348215811259869</v>
      </c>
      <c r="E96" s="6">
        <f t="shared" si="7"/>
        <v>50.441280044260509</v>
      </c>
      <c r="F96" s="6" t="str">
        <f t="shared" si="8"/>
        <v>❌ Divergente</v>
      </c>
    </row>
    <row r="97" spans="1:6" x14ac:dyDescent="0.25">
      <c r="A97" s="5" t="s">
        <v>120</v>
      </c>
      <c r="B97" s="5">
        <f>'Método Área Nodal'!F97</f>
        <v>0.22804555465735807</v>
      </c>
      <c r="C97" s="5">
        <f>'Método Linear'!F100</f>
        <v>0.29992545669163179</v>
      </c>
      <c r="D97" s="5">
        <f t="shared" si="6"/>
        <v>-7.1879902034273718E-2</v>
      </c>
      <c r="E97" s="5">
        <f t="shared" si="7"/>
        <v>31.519975095447212</v>
      </c>
      <c r="F97" s="5" t="str">
        <f t="shared" si="8"/>
        <v>⚠️ Moderado</v>
      </c>
    </row>
    <row r="98" spans="1:6" x14ac:dyDescent="0.25">
      <c r="A98" s="6" t="s">
        <v>121</v>
      </c>
      <c r="B98" s="6">
        <f>'Método Área Nodal'!F98</f>
        <v>0.27982672213680149</v>
      </c>
      <c r="C98" s="6">
        <f>'Método Linear'!F101</f>
        <v>0.34728970791688712</v>
      </c>
      <c r="D98" s="6">
        <f t="shared" si="6"/>
        <v>-6.7462985780085638E-2</v>
      </c>
      <c r="E98" s="6">
        <f t="shared" si="7"/>
        <v>24.108843238747006</v>
      </c>
      <c r="F98" s="6" t="str">
        <f t="shared" si="8"/>
        <v>⚠️ Moderado</v>
      </c>
    </row>
    <row r="99" spans="1:6" x14ac:dyDescent="0.25">
      <c r="A99" s="5" t="s">
        <v>122</v>
      </c>
      <c r="B99" s="5">
        <f>'Método Área Nodal'!F99</f>
        <v>0.26667170350542552</v>
      </c>
      <c r="C99" s="5">
        <f>'Método Linear'!F102</f>
        <v>0.26954302236908995</v>
      </c>
      <c r="D99" s="5">
        <f t="shared" ref="D99:D130" si="9">B99-C99</f>
        <v>-2.8713188636644293E-3</v>
      </c>
      <c r="E99" s="5">
        <f t="shared" ref="E99:E130" si="10">IF(B99=0,"-",ABS(D99/B99)*100)</f>
        <v>1.0767242365502838</v>
      </c>
      <c r="F99" s="5" t="str">
        <f t="shared" ref="F99:F130" si="11">IF(B99=0,"sem área",IF(ABS(D99/B99)*100&lt;20,"✅ OK",IF(ABS(D99/B99)*100&lt;50,"⚠️ Moderado","❌ Divergente")))</f>
        <v>✅ OK</v>
      </c>
    </row>
    <row r="100" spans="1:6" x14ac:dyDescent="0.25">
      <c r="A100" s="6" t="s">
        <v>123</v>
      </c>
      <c r="B100" s="6">
        <f>'Método Área Nodal'!F100</f>
        <v>0.32823177252178604</v>
      </c>
      <c r="C100" s="6">
        <f>'Método Linear'!F103</f>
        <v>0.31887115718173392</v>
      </c>
      <c r="D100" s="6">
        <f t="shared" si="9"/>
        <v>9.3606153400521142E-3</v>
      </c>
      <c r="E100" s="6">
        <f t="shared" si="10"/>
        <v>2.8518309693589501</v>
      </c>
      <c r="F100" s="6" t="str">
        <f t="shared" si="11"/>
        <v>✅ OK</v>
      </c>
    </row>
    <row r="101" spans="1:6" x14ac:dyDescent="0.25">
      <c r="A101" s="5" t="s">
        <v>124</v>
      </c>
      <c r="B101" s="5">
        <f>'Método Área Nodal'!F101</f>
        <v>0.16714966781382845</v>
      </c>
      <c r="C101" s="5">
        <f>'Método Linear'!F104</f>
        <v>0.28617827157991138</v>
      </c>
      <c r="D101" s="5">
        <f t="shared" si="9"/>
        <v>-0.11902860376608293</v>
      </c>
      <c r="E101" s="5">
        <f t="shared" si="10"/>
        <v>71.210792891707783</v>
      </c>
      <c r="F101" s="5" t="str">
        <f t="shared" si="11"/>
        <v>❌ Divergente</v>
      </c>
    </row>
    <row r="102" spans="1:6" x14ac:dyDescent="0.25">
      <c r="A102" s="6" t="s">
        <v>125</v>
      </c>
      <c r="B102" s="6">
        <f>'Método Área Nodal'!F102</f>
        <v>0.13062761621765162</v>
      </c>
      <c r="C102" s="6">
        <f>'Método Linear'!F105</f>
        <v>0.22246757755374483</v>
      </c>
      <c r="D102" s="6">
        <f t="shared" si="9"/>
        <v>-9.1839961336093207E-2</v>
      </c>
      <c r="E102" s="6">
        <f t="shared" si="10"/>
        <v>70.306696237240942</v>
      </c>
      <c r="F102" s="6" t="str">
        <f t="shared" si="11"/>
        <v>❌ Divergente</v>
      </c>
    </row>
    <row r="103" spans="1:6" x14ac:dyDescent="0.25">
      <c r="A103" s="5" t="s">
        <v>126</v>
      </c>
      <c r="B103" s="5">
        <f>'Método Área Nodal'!F103</f>
        <v>0.30193994762367027</v>
      </c>
      <c r="C103" s="5">
        <f>'Método Linear'!F106</f>
        <v>0.37677684236870762</v>
      </c>
      <c r="D103" s="5">
        <f t="shared" si="9"/>
        <v>-7.4836894745037352E-2</v>
      </c>
      <c r="E103" s="5">
        <f t="shared" si="10"/>
        <v>24.785357265250646</v>
      </c>
      <c r="F103" s="5" t="str">
        <f t="shared" si="11"/>
        <v>⚠️ Moderado</v>
      </c>
    </row>
    <row r="104" spans="1:6" x14ac:dyDescent="0.25">
      <c r="A104" s="6" t="s">
        <v>127</v>
      </c>
      <c r="B104" s="6">
        <f>'Método Área Nodal'!F104</f>
        <v>0.2621021073908924</v>
      </c>
      <c r="C104" s="6">
        <f>'Método Linear'!F107</f>
        <v>0.33030789101417357</v>
      </c>
      <c r="D104" s="6">
        <f t="shared" si="9"/>
        <v>-6.8205783623281169E-2</v>
      </c>
      <c r="E104" s="6">
        <f t="shared" si="10"/>
        <v>26.022600238601214</v>
      </c>
      <c r="F104" s="6" t="str">
        <f t="shared" si="11"/>
        <v>⚠️ Moderado</v>
      </c>
    </row>
    <row r="105" spans="1:6" x14ac:dyDescent="0.25">
      <c r="A105" s="5" t="s">
        <v>128</v>
      </c>
      <c r="B105" s="5">
        <f>'Método Área Nodal'!F105</f>
        <v>0.16866698544259237</v>
      </c>
      <c r="C105" s="5">
        <f>'Método Linear'!F108</f>
        <v>0.24545656778258823</v>
      </c>
      <c r="D105" s="5">
        <f t="shared" si="9"/>
        <v>-7.678958233999586E-2</v>
      </c>
      <c r="E105" s="5">
        <f t="shared" si="10"/>
        <v>45.527334314119237</v>
      </c>
      <c r="F105" s="5" t="str">
        <f t="shared" si="11"/>
        <v>⚠️ Moderado</v>
      </c>
    </row>
    <row r="106" spans="1:6" x14ac:dyDescent="0.25">
      <c r="A106" s="6" t="s">
        <v>129</v>
      </c>
      <c r="B106" s="6">
        <f>'Método Área Nodal'!F106</f>
        <v>0.37718831607341441</v>
      </c>
      <c r="C106" s="6">
        <f>'Método Linear'!F109</f>
        <v>0.41281988232548722</v>
      </c>
      <c r="D106" s="6">
        <f t="shared" si="9"/>
        <v>-3.563156625207281E-2</v>
      </c>
      <c r="E106" s="6">
        <f t="shared" si="10"/>
        <v>9.446625129591137</v>
      </c>
      <c r="F106" s="6" t="str">
        <f t="shared" si="11"/>
        <v>✅ OK</v>
      </c>
    </row>
    <row r="107" spans="1:6" x14ac:dyDescent="0.25">
      <c r="A107" s="5" t="s">
        <v>130</v>
      </c>
      <c r="B107" s="5">
        <f>'Método Área Nodal'!F107</f>
        <v>0.2642505972815839</v>
      </c>
      <c r="C107" s="5">
        <f>'Método Linear'!F110</f>
        <v>0.34425724061283103</v>
      </c>
      <c r="D107" s="5">
        <f t="shared" si="9"/>
        <v>-8.0006643331247129E-2</v>
      </c>
      <c r="E107" s="5">
        <f t="shared" si="10"/>
        <v>30.276806998469151</v>
      </c>
      <c r="F107" s="5" t="str">
        <f t="shared" si="11"/>
        <v>⚠️ Moderado</v>
      </c>
    </row>
    <row r="108" spans="1:6" x14ac:dyDescent="0.25">
      <c r="A108" s="6" t="s">
        <v>131</v>
      </c>
      <c r="B108" s="6">
        <f>'Método Área Nodal'!F108</f>
        <v>0.16618156680612878</v>
      </c>
      <c r="C108" s="6">
        <f>'Método Linear'!F111</f>
        <v>0.17013585607803589</v>
      </c>
      <c r="D108" s="6">
        <f t="shared" si="9"/>
        <v>-3.9542892719071077E-3</v>
      </c>
      <c r="E108" s="6">
        <f t="shared" si="10"/>
        <v>2.379499331908618</v>
      </c>
      <c r="F108" s="6" t="str">
        <f t="shared" si="11"/>
        <v>✅ OK</v>
      </c>
    </row>
    <row r="109" spans="1:6" x14ac:dyDescent="0.25">
      <c r="A109" s="5" t="s">
        <v>132</v>
      </c>
      <c r="B109" s="5">
        <f>'Método Área Nodal'!F109</f>
        <v>0.25584729841110421</v>
      </c>
      <c r="C109" s="5">
        <f>'Método Linear'!F112</f>
        <v>0.22783937677807251</v>
      </c>
      <c r="D109" s="5">
        <f t="shared" si="9"/>
        <v>2.8007921633031702E-2</v>
      </c>
      <c r="E109" s="5">
        <f t="shared" si="10"/>
        <v>10.94712424441067</v>
      </c>
      <c r="F109" s="5" t="str">
        <f t="shared" si="11"/>
        <v>✅ OK</v>
      </c>
    </row>
    <row r="110" spans="1:6" x14ac:dyDescent="0.25">
      <c r="A110" s="6" t="s">
        <v>133</v>
      </c>
      <c r="B110" s="6">
        <f>'Método Área Nodal'!F110</f>
        <v>0.2409695039124107</v>
      </c>
      <c r="C110" s="6">
        <f>'Método Linear'!F113</f>
        <v>0.23635916587042033</v>
      </c>
      <c r="D110" s="6">
        <f t="shared" si="9"/>
        <v>4.610338041990375E-3</v>
      </c>
      <c r="E110" s="6">
        <f t="shared" si="10"/>
        <v>1.9132454385871887</v>
      </c>
      <c r="F110" s="6" t="str">
        <f t="shared" si="11"/>
        <v>✅ OK</v>
      </c>
    </row>
    <row r="111" spans="1:6" x14ac:dyDescent="0.25">
      <c r="A111" s="5" t="s">
        <v>134</v>
      </c>
      <c r="B111" s="5">
        <f>'Método Área Nodal'!F111</f>
        <v>0.23947210605746788</v>
      </c>
      <c r="C111" s="5">
        <f>'Método Linear'!F114</f>
        <v>0.30691457181145604</v>
      </c>
      <c r="D111" s="5">
        <f t="shared" si="9"/>
        <v>-6.7442465753988157E-2</v>
      </c>
      <c r="E111" s="5">
        <f t="shared" si="10"/>
        <v>28.162973493791171</v>
      </c>
      <c r="F111" s="5" t="str">
        <f t="shared" si="11"/>
        <v>⚠️ Moderado</v>
      </c>
    </row>
    <row r="112" spans="1:6" x14ac:dyDescent="0.25">
      <c r="A112" s="6" t="s">
        <v>135</v>
      </c>
      <c r="B112" s="6">
        <f>'Método Área Nodal'!F112</f>
        <v>0.74615431864992265</v>
      </c>
      <c r="C112" s="6">
        <f>'Método Linear'!F115</f>
        <v>0.57079698854630834</v>
      </c>
      <c r="D112" s="6">
        <f t="shared" si="9"/>
        <v>0.17535733010361432</v>
      </c>
      <c r="E112" s="6">
        <f t="shared" si="10"/>
        <v>23.501482966808059</v>
      </c>
      <c r="F112" s="6" t="str">
        <f t="shared" si="11"/>
        <v>⚠️ Moderado</v>
      </c>
    </row>
    <row r="113" spans="1:6" x14ac:dyDescent="0.25">
      <c r="A113" s="5" t="s">
        <v>136</v>
      </c>
      <c r="B113" s="5">
        <f>'Método Área Nodal'!F113</f>
        <v>0.89286288370505495</v>
      </c>
      <c r="C113" s="5">
        <f>'Método Linear'!F116</f>
        <v>0.76704094408021639</v>
      </c>
      <c r="D113" s="5">
        <f t="shared" si="9"/>
        <v>0.12582193962483856</v>
      </c>
      <c r="E113" s="5">
        <f t="shared" si="10"/>
        <v>14.091966630164249</v>
      </c>
      <c r="F113" s="5" t="str">
        <f t="shared" si="11"/>
        <v>✅ OK</v>
      </c>
    </row>
    <row r="114" spans="1:6" x14ac:dyDescent="0.25">
      <c r="A114" s="6" t="s">
        <v>137</v>
      </c>
      <c r="B114" s="6">
        <f>'Método Área Nodal'!F114</f>
        <v>0.3747598110764393</v>
      </c>
      <c r="C114" s="6">
        <f>'Método Linear'!F117</f>
        <v>0.34708754342995007</v>
      </c>
      <c r="D114" s="6">
        <f t="shared" si="9"/>
        <v>2.7672267646489224E-2</v>
      </c>
      <c r="E114" s="6">
        <f t="shared" si="10"/>
        <v>7.3840008529743191</v>
      </c>
      <c r="F114" s="6" t="str">
        <f t="shared" si="11"/>
        <v>✅ OK</v>
      </c>
    </row>
    <row r="115" spans="1:6" x14ac:dyDescent="0.25">
      <c r="A115" s="5" t="s">
        <v>138</v>
      </c>
      <c r="B115" s="5">
        <f>'Método Área Nodal'!F115</f>
        <v>0.72692206159396255</v>
      </c>
      <c r="C115" s="5">
        <f>'Método Linear'!F118</f>
        <v>0.45697838240074051</v>
      </c>
      <c r="D115" s="5">
        <f t="shared" si="9"/>
        <v>0.26994367919322204</v>
      </c>
      <c r="E115" s="5">
        <f t="shared" si="10"/>
        <v>37.135161175505047</v>
      </c>
      <c r="F115" s="5" t="str">
        <f t="shared" si="11"/>
        <v>⚠️ Moderado</v>
      </c>
    </row>
    <row r="116" spans="1:6" x14ac:dyDescent="0.25">
      <c r="A116" s="6" t="s">
        <v>139</v>
      </c>
      <c r="B116" s="6">
        <f>'Método Área Nodal'!F116</f>
        <v>0.90765701515370045</v>
      </c>
      <c r="C116" s="6">
        <f>'Método Linear'!F119</f>
        <v>0.65076748345041302</v>
      </c>
      <c r="D116" s="6">
        <f t="shared" si="9"/>
        <v>0.25688953170328743</v>
      </c>
      <c r="E116" s="6">
        <f t="shared" si="10"/>
        <v>28.30248953232476</v>
      </c>
      <c r="F116" s="6" t="str">
        <f t="shared" si="11"/>
        <v>⚠️ Moderado</v>
      </c>
    </row>
    <row r="117" spans="1:6" x14ac:dyDescent="0.25">
      <c r="A117" s="5" t="s">
        <v>140</v>
      </c>
      <c r="B117" s="5">
        <f>'Método Área Nodal'!F117</f>
        <v>0.18391471859796124</v>
      </c>
      <c r="C117" s="5">
        <f>'Método Linear'!F120</f>
        <v>0.22532676101185475</v>
      </c>
      <c r="D117" s="5">
        <f t="shared" si="9"/>
        <v>-4.1412042413893513E-2</v>
      </c>
      <c r="E117" s="5">
        <f t="shared" si="10"/>
        <v>22.51698109297087</v>
      </c>
      <c r="F117" s="5" t="str">
        <f t="shared" si="11"/>
        <v>⚠️ Moderado</v>
      </c>
    </row>
    <row r="118" spans="1:6" x14ac:dyDescent="0.25">
      <c r="A118" s="6" t="s">
        <v>141</v>
      </c>
      <c r="B118" s="6">
        <f>'Método Área Nodal'!F118</f>
        <v>0.25282575329065882</v>
      </c>
      <c r="C118" s="6">
        <f>'Método Linear'!F121</f>
        <v>0.33692155780111471</v>
      </c>
      <c r="D118" s="6">
        <f t="shared" si="9"/>
        <v>-8.4095804510455896E-2</v>
      </c>
      <c r="E118" s="6">
        <f t="shared" si="10"/>
        <v>33.262356945803667</v>
      </c>
      <c r="F118" s="6" t="str">
        <f t="shared" si="11"/>
        <v>⚠️ Moderado</v>
      </c>
    </row>
    <row r="119" spans="1:6" x14ac:dyDescent="0.25">
      <c r="A119" s="5" t="s">
        <v>142</v>
      </c>
      <c r="B119" s="5">
        <f>'Método Área Nodal'!F119</f>
        <v>0.33647172924693375</v>
      </c>
      <c r="C119" s="5">
        <f>'Método Linear'!F122</f>
        <v>0.34804060458265329</v>
      </c>
      <c r="D119" s="5">
        <f t="shared" si="9"/>
        <v>-1.1568875335719542E-2</v>
      </c>
      <c r="E119" s="5">
        <f t="shared" si="10"/>
        <v>3.4382904506159098</v>
      </c>
      <c r="F119" s="5" t="str">
        <f t="shared" si="11"/>
        <v>✅ OK</v>
      </c>
    </row>
    <row r="120" spans="1:6" x14ac:dyDescent="0.25">
      <c r="A120" s="6" t="s">
        <v>143</v>
      </c>
      <c r="B120" s="6">
        <f>'Método Área Nodal'!F120</f>
        <v>0.30990102751532417</v>
      </c>
      <c r="C120" s="6">
        <f>'Método Linear'!F123</f>
        <v>0.32461840473894477</v>
      </c>
      <c r="D120" s="6">
        <f t="shared" si="9"/>
        <v>-1.4717377223620598E-2</v>
      </c>
      <c r="E120" s="6">
        <f t="shared" si="10"/>
        <v>4.7490572527684964</v>
      </c>
      <c r="F120" s="6" t="str">
        <f t="shared" si="11"/>
        <v>✅ OK</v>
      </c>
    </row>
    <row r="121" spans="1:6" x14ac:dyDescent="0.25">
      <c r="A121" s="5" t="s">
        <v>144</v>
      </c>
      <c r="B121" s="5">
        <f>'Método Área Nodal'!F121</f>
        <v>0.1606620820485323</v>
      </c>
      <c r="C121" s="5">
        <f>'Método Linear'!F124</f>
        <v>0.21475644640914535</v>
      </c>
      <c r="D121" s="5">
        <f t="shared" si="9"/>
        <v>-5.4094364360613045E-2</v>
      </c>
      <c r="E121" s="5">
        <f t="shared" si="10"/>
        <v>33.669652273193115</v>
      </c>
      <c r="F121" s="5" t="str">
        <f t="shared" si="11"/>
        <v>⚠️ Moderado</v>
      </c>
    </row>
    <row r="122" spans="1:6" x14ac:dyDescent="0.25">
      <c r="A122" s="6" t="s">
        <v>145</v>
      </c>
      <c r="B122" s="6">
        <f>'Método Área Nodal'!F122</f>
        <v>0.25139665180310211</v>
      </c>
      <c r="C122" s="6">
        <f>'Método Linear'!F125</f>
        <v>0.4652671263651601</v>
      </c>
      <c r="D122" s="6">
        <f t="shared" si="9"/>
        <v>-0.21387047456205799</v>
      </c>
      <c r="E122" s="6">
        <f t="shared" si="10"/>
        <v>85.072920831724034</v>
      </c>
      <c r="F122" s="6" t="str">
        <f t="shared" si="11"/>
        <v>❌ Divergente</v>
      </c>
    </row>
    <row r="123" spans="1:6" x14ac:dyDescent="0.25">
      <c r="A123" s="5" t="s">
        <v>146</v>
      </c>
      <c r="B123" s="5">
        <f>'Método Área Nodal'!F123</f>
        <v>0.22510539604138124</v>
      </c>
      <c r="C123" s="5">
        <f>'Método Linear'!F126</f>
        <v>0.25851061751052445</v>
      </c>
      <c r="D123" s="5">
        <f t="shared" si="9"/>
        <v>-3.3405221469143209E-2</v>
      </c>
      <c r="E123" s="5">
        <f t="shared" si="10"/>
        <v>14.839813730188107</v>
      </c>
      <c r="F123" s="5" t="str">
        <f t="shared" si="11"/>
        <v>✅ OK</v>
      </c>
    </row>
    <row r="124" spans="1:6" x14ac:dyDescent="0.25">
      <c r="A124" s="6" t="s">
        <v>147</v>
      </c>
      <c r="B124" s="6">
        <f>'Método Área Nodal'!F124</f>
        <v>0.17818408423786236</v>
      </c>
      <c r="C124" s="6">
        <f>'Método Linear'!F127</f>
        <v>0.26737697429476426</v>
      </c>
      <c r="D124" s="6">
        <f t="shared" si="9"/>
        <v>-8.9192890056901897E-2</v>
      </c>
      <c r="E124" s="6">
        <f t="shared" si="10"/>
        <v>50.0565976127453</v>
      </c>
      <c r="F124" s="6" t="str">
        <f t="shared" si="11"/>
        <v>❌ Divergente</v>
      </c>
    </row>
    <row r="125" spans="1:6" x14ac:dyDescent="0.25">
      <c r="A125" s="5" t="s">
        <v>148</v>
      </c>
      <c r="B125" s="5">
        <f>'Método Área Nodal'!F125</f>
        <v>0.11545387079361782</v>
      </c>
      <c r="C125" s="5">
        <f>'Método Linear'!F128</f>
        <v>0.18717543426273139</v>
      </c>
      <c r="D125" s="5">
        <f t="shared" si="9"/>
        <v>-7.172156346911357E-2</v>
      </c>
      <c r="E125" s="5">
        <f t="shared" si="10"/>
        <v>62.121402232863268</v>
      </c>
      <c r="F125" s="5" t="str">
        <f t="shared" si="11"/>
        <v>❌ Divergente</v>
      </c>
    </row>
    <row r="126" spans="1:6" x14ac:dyDescent="0.25">
      <c r="A126" s="6" t="s">
        <v>149</v>
      </c>
      <c r="B126" s="6">
        <f>'Método Área Nodal'!F126</f>
        <v>9.6101525958337042E-2</v>
      </c>
      <c r="C126" s="6">
        <f>'Método Linear'!F129</f>
        <v>0.16066300583298487</v>
      </c>
      <c r="D126" s="6">
        <f t="shared" si="9"/>
        <v>-6.4561479874647831E-2</v>
      </c>
      <c r="E126" s="6">
        <f t="shared" si="10"/>
        <v>67.18049399406749</v>
      </c>
      <c r="F126" s="6" t="str">
        <f t="shared" si="11"/>
        <v>❌ Divergente</v>
      </c>
    </row>
    <row r="127" spans="1:6" x14ac:dyDescent="0.25">
      <c r="A127" s="5" t="s">
        <v>150</v>
      </c>
      <c r="B127" s="5">
        <f>'Método Área Nodal'!F127</f>
        <v>0.25491448385988741</v>
      </c>
      <c r="C127" s="5">
        <f>'Método Linear'!F130</f>
        <v>0.30116732425424525</v>
      </c>
      <c r="D127" s="5">
        <f t="shared" si="9"/>
        <v>-4.6252840394357841E-2</v>
      </c>
      <c r="E127" s="5">
        <f t="shared" si="10"/>
        <v>18.144453659126135</v>
      </c>
      <c r="F127" s="5" t="str">
        <f t="shared" si="11"/>
        <v>✅ OK</v>
      </c>
    </row>
    <row r="128" spans="1:6" x14ac:dyDescent="0.25">
      <c r="A128" s="6" t="s">
        <v>151</v>
      </c>
      <c r="B128" s="6">
        <f>'Método Área Nodal'!F128</f>
        <v>0.3775531325025358</v>
      </c>
      <c r="C128" s="6">
        <f>'Método Linear'!F131</f>
        <v>0.51956273142825771</v>
      </c>
      <c r="D128" s="6">
        <f t="shared" si="9"/>
        <v>-0.1420095989257219</v>
      </c>
      <c r="E128" s="6">
        <f t="shared" si="10"/>
        <v>37.613142813685464</v>
      </c>
      <c r="F128" s="6" t="str">
        <f t="shared" si="11"/>
        <v>⚠️ Moderado</v>
      </c>
    </row>
    <row r="129" spans="1:6" x14ac:dyDescent="0.25">
      <c r="A129" s="5" t="s">
        <v>152</v>
      </c>
      <c r="B129" s="5">
        <f>'Método Área Nodal'!F129</f>
        <v>0.38496385750033568</v>
      </c>
      <c r="C129" s="5">
        <f>'Método Linear'!F132</f>
        <v>0.5000394181183353</v>
      </c>
      <c r="D129" s="5">
        <f t="shared" si="9"/>
        <v>-0.11507556061799962</v>
      </c>
      <c r="E129" s="5">
        <f t="shared" si="10"/>
        <v>29.892562217454209</v>
      </c>
      <c r="F129" s="5" t="str">
        <f t="shared" si="11"/>
        <v>⚠️ Moderado</v>
      </c>
    </row>
    <row r="130" spans="1:6" x14ac:dyDescent="0.25">
      <c r="A130" s="6" t="s">
        <v>153</v>
      </c>
      <c r="B130" s="6">
        <f>'Método Área Nodal'!F130</f>
        <v>0.33632375378426349</v>
      </c>
      <c r="C130" s="6">
        <f>'Método Linear'!F133</f>
        <v>0.28661148119477647</v>
      </c>
      <c r="D130" s="6">
        <f t="shared" si="9"/>
        <v>4.9712272589487017E-2</v>
      </c>
      <c r="E130" s="6">
        <f t="shared" si="10"/>
        <v>14.781076873141465</v>
      </c>
      <c r="F130" s="6" t="str">
        <f t="shared" si="11"/>
        <v>✅ OK</v>
      </c>
    </row>
    <row r="131" spans="1:6" x14ac:dyDescent="0.25">
      <c r="A131" s="5" t="s">
        <v>154</v>
      </c>
      <c r="B131" s="5">
        <f>'Método Área Nodal'!F131</f>
        <v>0.25916137963852065</v>
      </c>
      <c r="C131" s="5">
        <f>'Método Linear'!F134</f>
        <v>0.36164338648941868</v>
      </c>
      <c r="D131" s="5">
        <f t="shared" ref="D131:D162" si="12">B131-C131</f>
        <v>-0.10248200685089803</v>
      </c>
      <c r="E131" s="5">
        <f t="shared" ref="E131:E162" si="13">IF(B131=0,"-",ABS(D131/B131)*100)</f>
        <v>39.543703229948981</v>
      </c>
      <c r="F131" s="5" t="str">
        <f t="shared" ref="F131:F162" si="14">IF(B131=0,"sem área",IF(ABS(D131/B131)*100&lt;20,"✅ OK",IF(ABS(D131/B131)*100&lt;50,"⚠️ Moderado","❌ Divergente")))</f>
        <v>⚠️ Moderado</v>
      </c>
    </row>
    <row r="132" spans="1:6" x14ac:dyDescent="0.25">
      <c r="A132" s="6" t="s">
        <v>155</v>
      </c>
      <c r="B132" s="6">
        <f>'Método Área Nodal'!F132</f>
        <v>0.21779996127663506</v>
      </c>
      <c r="C132" s="6">
        <f>'Método Linear'!F135</f>
        <v>0.28083535299657458</v>
      </c>
      <c r="D132" s="6">
        <f t="shared" si="12"/>
        <v>-6.3035391719939521E-2</v>
      </c>
      <c r="E132" s="6">
        <f t="shared" si="13"/>
        <v>28.941874622225548</v>
      </c>
      <c r="F132" s="6" t="str">
        <f t="shared" si="14"/>
        <v>⚠️ Moderado</v>
      </c>
    </row>
    <row r="133" spans="1:6" x14ac:dyDescent="0.25">
      <c r="A133" s="5" t="s">
        <v>156</v>
      </c>
      <c r="B133" s="5">
        <f>'Método Área Nodal'!F133</f>
        <v>0.421657219151373</v>
      </c>
      <c r="C133" s="5">
        <f>'Método Linear'!F136</f>
        <v>0.46237906226605918</v>
      </c>
      <c r="D133" s="5">
        <f t="shared" si="12"/>
        <v>-4.0721843114686185E-2</v>
      </c>
      <c r="E133" s="5">
        <f t="shared" si="13"/>
        <v>9.6575704778974103</v>
      </c>
      <c r="F133" s="5" t="str">
        <f t="shared" si="14"/>
        <v>✅ OK</v>
      </c>
    </row>
    <row r="134" spans="1:6" x14ac:dyDescent="0.25">
      <c r="A134" s="6" t="s">
        <v>157</v>
      </c>
      <c r="B134" s="6">
        <f>'Método Área Nodal'!F134</f>
        <v>0.12261645232324782</v>
      </c>
      <c r="C134" s="6">
        <f>'Método Linear'!F137</f>
        <v>0.21348569820554092</v>
      </c>
      <c r="D134" s="6">
        <f t="shared" si="12"/>
        <v>-9.0869245882293101E-2</v>
      </c>
      <c r="E134" s="6">
        <f t="shared" si="13"/>
        <v>74.108526352351888</v>
      </c>
      <c r="F134" s="6" t="str">
        <f t="shared" si="14"/>
        <v>❌ Divergente</v>
      </c>
    </row>
    <row r="135" spans="1:6" x14ac:dyDescent="0.25">
      <c r="A135" s="5" t="s">
        <v>158</v>
      </c>
      <c r="B135" s="5">
        <f>'Método Área Nodal'!F135</f>
        <v>0.16482246909514298</v>
      </c>
      <c r="C135" s="5">
        <f>'Método Linear'!F138</f>
        <v>0.21178174038707132</v>
      </c>
      <c r="D135" s="5">
        <f t="shared" si="12"/>
        <v>-4.6959271291928339E-2</v>
      </c>
      <c r="E135" s="5">
        <f t="shared" si="13"/>
        <v>28.490818970089158</v>
      </c>
      <c r="F135" s="5" t="str">
        <f t="shared" si="14"/>
        <v>⚠️ Moderado</v>
      </c>
    </row>
    <row r="136" spans="1:6" x14ac:dyDescent="0.25">
      <c r="A136" s="6" t="s">
        <v>159</v>
      </c>
      <c r="B136" s="6">
        <f>'Método Área Nodal'!F136</f>
        <v>0.34898077807011507</v>
      </c>
      <c r="C136" s="6">
        <f>'Método Linear'!F139</f>
        <v>0.45102897035659262</v>
      </c>
      <c r="D136" s="6">
        <f t="shared" si="12"/>
        <v>-0.10204819228647755</v>
      </c>
      <c r="E136" s="6">
        <f t="shared" si="13"/>
        <v>29.241780263890249</v>
      </c>
      <c r="F136" s="6" t="str">
        <f t="shared" si="14"/>
        <v>⚠️ Moderado</v>
      </c>
    </row>
    <row r="137" spans="1:6" x14ac:dyDescent="0.25">
      <c r="A137" s="5" t="s">
        <v>160</v>
      </c>
      <c r="B137" s="5">
        <f>'Método Área Nodal'!F137</f>
        <v>0.93809784437052934</v>
      </c>
      <c r="C137" s="5">
        <f>'Método Linear'!F140</f>
        <v>0.81215250530817318</v>
      </c>
      <c r="D137" s="5">
        <f t="shared" si="12"/>
        <v>0.12594533906235617</v>
      </c>
      <c r="E137" s="5">
        <f t="shared" si="13"/>
        <v>13.425607980888863</v>
      </c>
      <c r="F137" s="5" t="str">
        <f t="shared" si="14"/>
        <v>✅ OK</v>
      </c>
    </row>
    <row r="138" spans="1:6" x14ac:dyDescent="0.25">
      <c r="A138" s="6" t="s">
        <v>161</v>
      </c>
      <c r="B138" s="6">
        <f>'Método Área Nodal'!F138</f>
        <v>0.56144280909912203</v>
      </c>
      <c r="C138" s="6">
        <f>'Método Linear'!F141</f>
        <v>0.5093967457994224</v>
      </c>
      <c r="D138" s="6">
        <f t="shared" si="12"/>
        <v>5.204606329969963E-2</v>
      </c>
      <c r="E138" s="6">
        <f t="shared" si="13"/>
        <v>9.2700560869612918</v>
      </c>
      <c r="F138" s="6" t="str">
        <f t="shared" si="14"/>
        <v>✅ OK</v>
      </c>
    </row>
    <row r="139" spans="1:6" x14ac:dyDescent="0.25">
      <c r="A139" s="5" t="s">
        <v>162</v>
      </c>
      <c r="B139" s="5">
        <f>'Método Área Nodal'!F139</f>
        <v>0.30935522571262936</v>
      </c>
      <c r="C139" s="5">
        <f>'Método Linear'!F142</f>
        <v>0.25542038892448643</v>
      </c>
      <c r="D139" s="5">
        <f t="shared" si="12"/>
        <v>5.3934836788142926E-2</v>
      </c>
      <c r="E139" s="5">
        <f t="shared" si="13"/>
        <v>17.434596963377253</v>
      </c>
      <c r="F139" s="5" t="str">
        <f t="shared" si="14"/>
        <v>✅ OK</v>
      </c>
    </row>
    <row r="140" spans="1:6" x14ac:dyDescent="0.25">
      <c r="A140" s="6" t="s">
        <v>163</v>
      </c>
      <c r="B140" s="6">
        <f>'Método Área Nodal'!F140</f>
        <v>0.26342478037260553</v>
      </c>
      <c r="C140" s="6">
        <f>'Método Linear'!F143</f>
        <v>5.8916507621659009E-2</v>
      </c>
      <c r="D140" s="6">
        <f t="shared" si="12"/>
        <v>0.20450827275094652</v>
      </c>
      <c r="E140" s="6">
        <f t="shared" si="13"/>
        <v>77.634409512148565</v>
      </c>
      <c r="F140" s="6" t="str">
        <f t="shared" si="14"/>
        <v>❌ Divergente</v>
      </c>
    </row>
    <row r="141" spans="1:6" x14ac:dyDescent="0.25">
      <c r="A141" s="5" t="s">
        <v>164</v>
      </c>
      <c r="B141" s="5">
        <f>'Método Área Nodal'!F141</f>
        <v>0.36269013555010932</v>
      </c>
      <c r="C141" s="5">
        <f>'Método Linear'!F144</f>
        <v>0.19578186527805219</v>
      </c>
      <c r="D141" s="5">
        <f t="shared" si="12"/>
        <v>0.16690827027205712</v>
      </c>
      <c r="E141" s="5">
        <f t="shared" si="13"/>
        <v>46.019522979002289</v>
      </c>
      <c r="F141" s="5" t="str">
        <f t="shared" si="14"/>
        <v>⚠️ Moderado</v>
      </c>
    </row>
    <row r="142" spans="1:6" x14ac:dyDescent="0.25">
      <c r="A142" s="6" t="s">
        <v>165</v>
      </c>
      <c r="B142" s="6">
        <f>'Método Área Nodal'!F142</f>
        <v>0.25871688411411525</v>
      </c>
      <c r="C142" s="6">
        <f>'Método Linear'!F145</f>
        <v>0.17521884889245354</v>
      </c>
      <c r="D142" s="6">
        <f t="shared" si="12"/>
        <v>8.3498035221661715E-2</v>
      </c>
      <c r="E142" s="6">
        <f t="shared" si="13"/>
        <v>32.273902612723283</v>
      </c>
      <c r="F142" s="6" t="str">
        <f t="shared" si="14"/>
        <v>⚠️ Moderado</v>
      </c>
    </row>
    <row r="143" spans="1:6" x14ac:dyDescent="0.25">
      <c r="A143" s="5" t="s">
        <v>166</v>
      </c>
      <c r="B143" s="5">
        <f>'Método Área Nodal'!F143</f>
        <v>0.31317356178591393</v>
      </c>
      <c r="C143" s="5">
        <f>'Método Linear'!F146</f>
        <v>0.42367900333810665</v>
      </c>
      <c r="D143" s="5">
        <f t="shared" si="12"/>
        <v>-0.11050544155219272</v>
      </c>
      <c r="E143" s="5">
        <f t="shared" si="13"/>
        <v>35.285686608416341</v>
      </c>
      <c r="F143" s="5" t="str">
        <f t="shared" si="14"/>
        <v>⚠️ Moderado</v>
      </c>
    </row>
    <row r="144" spans="1:6" x14ac:dyDescent="0.25">
      <c r="A144" s="6" t="s">
        <v>167</v>
      </c>
      <c r="B144" s="6">
        <f>'Método Área Nodal'!F144</f>
        <v>0.15949705984820239</v>
      </c>
      <c r="C144" s="6">
        <f>'Método Linear'!F147</f>
        <v>0.18573140221318094</v>
      </c>
      <c r="D144" s="6">
        <f t="shared" si="12"/>
        <v>-2.6234342364978541E-2</v>
      </c>
      <c r="E144" s="6">
        <f t="shared" si="13"/>
        <v>16.448166749873923</v>
      </c>
      <c r="F144" s="6" t="str">
        <f t="shared" si="14"/>
        <v>✅ OK</v>
      </c>
    </row>
    <row r="145" spans="1:6" x14ac:dyDescent="0.25">
      <c r="A145" s="5" t="s">
        <v>168</v>
      </c>
      <c r="B145" s="5">
        <f>'Método Área Nodal'!F145</f>
        <v>0.35100405795393197</v>
      </c>
      <c r="C145" s="5">
        <f>'Método Linear'!F148</f>
        <v>0.39575142349980069</v>
      </c>
      <c r="D145" s="5">
        <f t="shared" si="12"/>
        <v>-4.4747365545868723E-2</v>
      </c>
      <c r="E145" s="5">
        <f t="shared" si="13"/>
        <v>12.748389806861338</v>
      </c>
      <c r="F145" s="5" t="str">
        <f t="shared" si="14"/>
        <v>✅ OK</v>
      </c>
    </row>
    <row r="146" spans="1:6" x14ac:dyDescent="0.25">
      <c r="A146" s="6" t="s">
        <v>169</v>
      </c>
      <c r="B146" s="6">
        <f>'Método Área Nodal'!F146</f>
        <v>0.30639571645922642</v>
      </c>
      <c r="C146" s="6">
        <f>'Método Linear'!F149</f>
        <v>0.15393381648207971</v>
      </c>
      <c r="D146" s="6">
        <f t="shared" si="12"/>
        <v>0.15246189997714671</v>
      </c>
      <c r="E146" s="6">
        <f t="shared" si="13"/>
        <v>49.759801389859035</v>
      </c>
      <c r="F146" s="6" t="str">
        <f t="shared" si="14"/>
        <v>⚠️ Moderado</v>
      </c>
    </row>
    <row r="147" spans="1:6" x14ac:dyDescent="0.25">
      <c r="A147" s="5" t="s">
        <v>170</v>
      </c>
      <c r="B147" s="5">
        <f>'Método Área Nodal'!F147</f>
        <v>0.36951009697001846</v>
      </c>
      <c r="C147" s="5">
        <f>'Método Linear'!F150</f>
        <v>0.14044655713927834</v>
      </c>
      <c r="D147" s="5">
        <f t="shared" si="12"/>
        <v>0.22906353983074013</v>
      </c>
      <c r="E147" s="5">
        <f t="shared" si="13"/>
        <v>61.991144953564294</v>
      </c>
      <c r="F147" s="5" t="str">
        <f t="shared" si="14"/>
        <v>❌ Divergente</v>
      </c>
    </row>
    <row r="148" spans="1:6" x14ac:dyDescent="0.25">
      <c r="A148" s="6" t="s">
        <v>171</v>
      </c>
      <c r="B148" s="6">
        <f>'Método Área Nodal'!F148</f>
        <v>0.38122975361349409</v>
      </c>
      <c r="C148" s="6">
        <f>'Método Linear'!F151</f>
        <v>0.14396999534018146</v>
      </c>
      <c r="D148" s="6">
        <f t="shared" si="12"/>
        <v>0.23725975827331264</v>
      </c>
      <c r="E148" s="6">
        <f t="shared" si="13"/>
        <v>62.235372770472694</v>
      </c>
      <c r="F148" s="6" t="str">
        <f t="shared" si="14"/>
        <v>❌ Divergente</v>
      </c>
    </row>
    <row r="149" spans="1:6" x14ac:dyDescent="0.25">
      <c r="A149" s="5" t="s">
        <v>172</v>
      </c>
      <c r="B149" s="5">
        <f>'Método Área Nodal'!F149</f>
        <v>0.28809456654529852</v>
      </c>
      <c r="C149" s="5">
        <f>'Método Linear'!F152</f>
        <v>0.20086485809246979</v>
      </c>
      <c r="D149" s="5">
        <f t="shared" si="12"/>
        <v>8.7229708452828736E-2</v>
      </c>
      <c r="E149" s="5">
        <f t="shared" si="13"/>
        <v>30.27815119835423</v>
      </c>
      <c r="F149" s="5" t="str">
        <f t="shared" si="14"/>
        <v>⚠️ Moderado</v>
      </c>
    </row>
    <row r="150" spans="1:6" x14ac:dyDescent="0.25">
      <c r="A150" s="6" t="s">
        <v>173</v>
      </c>
      <c r="B150" s="6">
        <f>'Método Área Nodal'!F150</f>
        <v>0.35503468190250875</v>
      </c>
      <c r="C150" s="6">
        <f>'Método Linear'!F153</f>
        <v>0.20782509257130305</v>
      </c>
      <c r="D150" s="6">
        <f t="shared" si="12"/>
        <v>0.1472095893312057</v>
      </c>
      <c r="E150" s="6">
        <f t="shared" si="13"/>
        <v>41.463439161030728</v>
      </c>
      <c r="F150" s="6" t="str">
        <f t="shared" si="14"/>
        <v>⚠️ Moderado</v>
      </c>
    </row>
    <row r="151" spans="1:6" x14ac:dyDescent="0.25">
      <c r="A151" s="5" t="s">
        <v>174</v>
      </c>
      <c r="B151" s="5">
        <f>'Método Área Nodal'!F151</f>
        <v>0.47757486994884185</v>
      </c>
      <c r="C151" s="5">
        <f>'Método Linear'!F154</f>
        <v>0.38492118312817225</v>
      </c>
      <c r="D151" s="5">
        <f t="shared" si="12"/>
        <v>9.2653686820669601E-2</v>
      </c>
      <c r="E151" s="5">
        <f t="shared" si="13"/>
        <v>19.400871496985324</v>
      </c>
      <c r="F151" s="5" t="str">
        <f t="shared" si="14"/>
        <v>✅ OK</v>
      </c>
    </row>
    <row r="152" spans="1:6" x14ac:dyDescent="0.25">
      <c r="A152" s="6" t="s">
        <v>175</v>
      </c>
      <c r="B152" s="6">
        <f>'Método Área Nodal'!F152</f>
        <v>0.50270224178302247</v>
      </c>
      <c r="C152" s="6">
        <f>'Método Linear'!F155</f>
        <v>0.33669051267318661</v>
      </c>
      <c r="D152" s="6">
        <f t="shared" si="12"/>
        <v>0.16601172910983586</v>
      </c>
      <c r="E152" s="6">
        <f t="shared" si="13"/>
        <v>33.023868865396913</v>
      </c>
      <c r="F152" s="6" t="str">
        <f t="shared" si="14"/>
        <v>⚠️ Moderado</v>
      </c>
    </row>
    <row r="153" spans="1:6" x14ac:dyDescent="0.25">
      <c r="A153" s="5" t="s">
        <v>176</v>
      </c>
      <c r="B153" s="5">
        <f>'Método Área Nodal'!F153</f>
        <v>0.1766531073356212</v>
      </c>
      <c r="C153" s="5">
        <f>'Método Linear'!F156</f>
        <v>9.1638273864472583E-2</v>
      </c>
      <c r="D153" s="5">
        <f t="shared" si="12"/>
        <v>8.5014833471148618E-2</v>
      </c>
      <c r="E153" s="5">
        <f t="shared" si="13"/>
        <v>48.125297512955669</v>
      </c>
      <c r="F153" s="5" t="str">
        <f t="shared" si="14"/>
        <v>⚠️ Moderado</v>
      </c>
    </row>
    <row r="154" spans="1:6" x14ac:dyDescent="0.25">
      <c r="A154" s="6" t="s">
        <v>177</v>
      </c>
      <c r="B154" s="6">
        <f>'Método Área Nodal'!F154</f>
        <v>0.2512759948873865</v>
      </c>
      <c r="C154" s="6">
        <f>'Método Linear'!F157</f>
        <v>0.18021519978389816</v>
      </c>
      <c r="D154" s="6">
        <f t="shared" si="12"/>
        <v>7.1060795103488339E-2</v>
      </c>
      <c r="E154" s="6">
        <f t="shared" si="13"/>
        <v>28.279977613991903</v>
      </c>
      <c r="F154" s="6" t="str">
        <f t="shared" si="14"/>
        <v>⚠️ Moderado</v>
      </c>
    </row>
    <row r="155" spans="1:6" x14ac:dyDescent="0.25">
      <c r="A155" s="5" t="s">
        <v>178</v>
      </c>
      <c r="B155" s="5">
        <f>'Método Área Nodal'!F155</f>
        <v>0.15224341649539072</v>
      </c>
      <c r="C155" s="5">
        <f>'Método Linear'!F158</f>
        <v>8.2743036439241704E-2</v>
      </c>
      <c r="D155" s="5">
        <f t="shared" si="12"/>
        <v>6.9500380056149016E-2</v>
      </c>
      <c r="E155" s="5">
        <f t="shared" si="13"/>
        <v>45.650827901811567</v>
      </c>
      <c r="F155" s="5" t="str">
        <f t="shared" si="14"/>
        <v>⚠️ Moderado</v>
      </c>
    </row>
    <row r="156" spans="1:6" x14ac:dyDescent="0.25">
      <c r="A156" s="6" t="s">
        <v>179</v>
      </c>
      <c r="B156" s="6">
        <f>'Método Área Nodal'!F156</f>
        <v>0.19927514075951733</v>
      </c>
      <c r="C156" s="6">
        <f>'Método Linear'!F159</f>
        <v>7.7024669523021852E-2</v>
      </c>
      <c r="D156" s="6">
        <f t="shared" si="12"/>
        <v>0.12225047123649548</v>
      </c>
      <c r="E156" s="6">
        <f t="shared" si="13"/>
        <v>61.347577410082351</v>
      </c>
      <c r="F156" s="6" t="str">
        <f t="shared" si="14"/>
        <v>❌ Divergente</v>
      </c>
    </row>
    <row r="157" spans="1:6" x14ac:dyDescent="0.25">
      <c r="A157" s="5" t="s">
        <v>180</v>
      </c>
      <c r="B157" s="5">
        <f>'Método Área Nodal'!F157</f>
        <v>8.1963608772994315E-2</v>
      </c>
      <c r="C157" s="5">
        <f>'Método Linear'!F160</f>
        <v>6.1660168515804907E-2</v>
      </c>
      <c r="D157" s="5">
        <f t="shared" si="12"/>
        <v>2.0303440257189408E-2</v>
      </c>
      <c r="E157" s="5">
        <f t="shared" si="13"/>
        <v>24.771286380790816</v>
      </c>
      <c r="F157" s="5" t="str">
        <f t="shared" si="14"/>
        <v>⚠️ Moderado</v>
      </c>
    </row>
    <row r="158" spans="1:6" x14ac:dyDescent="0.25">
      <c r="A158" s="6" t="s">
        <v>181</v>
      </c>
      <c r="B158" s="6">
        <f>'Método Área Nodal'!F158</f>
        <v>0.267689888515875</v>
      </c>
      <c r="C158" s="6">
        <f>'Método Linear'!F161</f>
        <v>0.14105305060008955</v>
      </c>
      <c r="D158" s="6">
        <f t="shared" si="12"/>
        <v>0.12663683791578545</v>
      </c>
      <c r="E158" s="6">
        <f t="shared" si="13"/>
        <v>47.30729226190978</v>
      </c>
      <c r="F158" s="6" t="str">
        <f t="shared" si="14"/>
        <v>⚠️ Moderado</v>
      </c>
    </row>
    <row r="159" spans="1:6" x14ac:dyDescent="0.25">
      <c r="A159" s="5" t="s">
        <v>182</v>
      </c>
      <c r="B159" s="5">
        <f>'Método Área Nodal'!F159</f>
        <v>0.36863078123992082</v>
      </c>
      <c r="C159" s="5">
        <f>'Método Linear'!F162</f>
        <v>0.13111811009918231</v>
      </c>
      <c r="D159" s="5">
        <f t="shared" si="12"/>
        <v>0.23751267114073851</v>
      </c>
      <c r="E159" s="5">
        <f t="shared" si="13"/>
        <v>64.431046789376765</v>
      </c>
      <c r="F159" s="5" t="str">
        <f t="shared" si="14"/>
        <v>❌ Divergente</v>
      </c>
    </row>
    <row r="160" spans="1:6" x14ac:dyDescent="0.25">
      <c r="A160" s="6" t="s">
        <v>183</v>
      </c>
      <c r="B160" s="6">
        <f>'Método Área Nodal'!F160</f>
        <v>0.15358885493289928</v>
      </c>
      <c r="C160" s="6">
        <f>'Método Linear'!F163</f>
        <v>4.3840813024352152E-2</v>
      </c>
      <c r="D160" s="6">
        <f t="shared" si="12"/>
        <v>0.10974804190854713</v>
      </c>
      <c r="E160" s="6">
        <f t="shared" si="13"/>
        <v>71.45573287625227</v>
      </c>
      <c r="F160" s="6" t="str">
        <f t="shared" si="14"/>
        <v>❌ Divergente</v>
      </c>
    </row>
    <row r="161" spans="1:6" x14ac:dyDescent="0.25">
      <c r="A161" s="5" t="s">
        <v>184</v>
      </c>
      <c r="B161" s="5">
        <f>'Método Área Nodal'!F161</f>
        <v>0.22634326770025651</v>
      </c>
      <c r="C161" s="5">
        <f>'Método Linear'!F164</f>
        <v>0.10859121012619506</v>
      </c>
      <c r="D161" s="5">
        <f t="shared" si="12"/>
        <v>0.11775205757406144</v>
      </c>
      <c r="E161" s="5">
        <f t="shared" si="13"/>
        <v>52.023662453260592</v>
      </c>
      <c r="F161" s="5" t="str">
        <f t="shared" si="14"/>
        <v>❌ Divergente</v>
      </c>
    </row>
    <row r="162" spans="1:6" x14ac:dyDescent="0.25">
      <c r="A162" s="6" t="s">
        <v>185</v>
      </c>
      <c r="B162" s="6">
        <f>'Método Área Nodal'!F162</f>
        <v>0.35482239402721649</v>
      </c>
      <c r="C162" s="6">
        <f>'Método Linear'!F165</f>
        <v>0.35537628739436966</v>
      </c>
      <c r="D162" s="6">
        <f t="shared" si="12"/>
        <v>-5.5389336715316873E-4</v>
      </c>
      <c r="E162" s="6">
        <f t="shared" si="13"/>
        <v>0.1561043994057158</v>
      </c>
      <c r="F162" s="6" t="str">
        <f t="shared" si="14"/>
        <v>✅ OK</v>
      </c>
    </row>
    <row r="163" spans="1:6" x14ac:dyDescent="0.25">
      <c r="A163" s="5" t="s">
        <v>186</v>
      </c>
      <c r="B163" s="5">
        <f>'Método Área Nodal'!F163</f>
        <v>0.88603153955724812</v>
      </c>
      <c r="C163" s="5">
        <f>'Método Linear'!F166</f>
        <v>0.45065352202370951</v>
      </c>
      <c r="D163" s="5">
        <f t="shared" ref="D163:D194" si="15">B163-C163</f>
        <v>0.43537801753353861</v>
      </c>
      <c r="E163" s="5">
        <f t="shared" ref="E163:E194" si="16">IF(B163=0,"-",ABS(D163/B163)*100)</f>
        <v>49.13798189972988</v>
      </c>
      <c r="F163" s="5" t="str">
        <f t="shared" ref="F163:F185" si="17">IF(B163=0,"sem área",IF(ABS(D163/B163)*100&lt;20,"✅ OK",IF(ABS(D163/B163)*100&lt;50,"⚠️ Moderado","❌ Divergente")))</f>
        <v>⚠️ Moderado</v>
      </c>
    </row>
    <row r="164" spans="1:6" x14ac:dyDescent="0.25">
      <c r="A164" s="6" t="s">
        <v>187</v>
      </c>
      <c r="B164" s="6">
        <f>'Método Área Nodal'!F164</f>
        <v>0.34426662131128111</v>
      </c>
      <c r="C164" s="6">
        <f>'Método Linear'!F167</f>
        <v>0.38243744800294543</v>
      </c>
      <c r="D164" s="6">
        <f t="shared" si="15"/>
        <v>-3.8170826691664328E-2</v>
      </c>
      <c r="E164" s="6">
        <f t="shared" si="16"/>
        <v>11.087576990843615</v>
      </c>
      <c r="F164" s="6" t="str">
        <f t="shared" si="17"/>
        <v>✅ OK</v>
      </c>
    </row>
    <row r="165" spans="1:6" x14ac:dyDescent="0.25">
      <c r="A165" s="5" t="s">
        <v>188</v>
      </c>
      <c r="B165" s="5">
        <f>'Método Área Nodal'!F165</f>
        <v>0.40668779369310298</v>
      </c>
      <c r="C165" s="5">
        <f>'Método Linear'!F168</f>
        <v>0.34168686356463129</v>
      </c>
      <c r="D165" s="5">
        <f t="shared" si="15"/>
        <v>6.500093012847169E-2</v>
      </c>
      <c r="E165" s="5">
        <f t="shared" si="16"/>
        <v>15.983004933146102</v>
      </c>
      <c r="F165" s="5" t="str">
        <f t="shared" si="17"/>
        <v>✅ OK</v>
      </c>
    </row>
    <row r="166" spans="1:6" x14ac:dyDescent="0.25">
      <c r="A166" s="6" t="s">
        <v>189</v>
      </c>
      <c r="B166" s="6">
        <f>'Método Área Nodal'!F166</f>
        <v>0.21764401790443655</v>
      </c>
      <c r="C166" s="6">
        <f>'Método Linear'!F169</f>
        <v>4.4418425844172348E-2</v>
      </c>
      <c r="D166" s="6">
        <f t="shared" si="15"/>
        <v>0.17322559206026419</v>
      </c>
      <c r="E166" s="6">
        <f t="shared" si="16"/>
        <v>79.591248924803594</v>
      </c>
      <c r="F166" s="6" t="str">
        <f t="shared" si="17"/>
        <v>❌ Divergente</v>
      </c>
    </row>
    <row r="167" spans="1:6" x14ac:dyDescent="0.25">
      <c r="A167" s="5" t="s">
        <v>190</v>
      </c>
      <c r="B167" s="5">
        <f>'Método Área Nodal'!F167</f>
        <v>0.13270098010421832</v>
      </c>
      <c r="C167" s="5">
        <f>'Método Linear'!F170</f>
        <v>2.9111686118937385E-2</v>
      </c>
      <c r="D167" s="5">
        <f t="shared" si="15"/>
        <v>0.10358929398528094</v>
      </c>
      <c r="E167" s="5">
        <f t="shared" si="16"/>
        <v>78.062192083227885</v>
      </c>
      <c r="F167" s="5" t="str">
        <f t="shared" si="17"/>
        <v>❌ Divergente</v>
      </c>
    </row>
    <row r="168" spans="1:6" x14ac:dyDescent="0.25">
      <c r="A168" s="6" t="s">
        <v>191</v>
      </c>
      <c r="B168" s="6">
        <f>'Método Área Nodal'!F168</f>
        <v>0.19797181841523032</v>
      </c>
      <c r="C168" s="6">
        <f>'Método Linear'!F171</f>
        <v>4.5804696611740782E-2</v>
      </c>
      <c r="D168" s="6">
        <f t="shared" si="15"/>
        <v>0.15216712180348954</v>
      </c>
      <c r="E168" s="6">
        <f t="shared" si="16"/>
        <v>76.863021727835516</v>
      </c>
      <c r="F168" s="6" t="str">
        <f t="shared" si="17"/>
        <v>❌ Divergente</v>
      </c>
    </row>
    <row r="169" spans="1:6" x14ac:dyDescent="0.25">
      <c r="A169" s="5" t="s">
        <v>192</v>
      </c>
      <c r="B169" s="5">
        <f>'Método Área Nodal'!F169</f>
        <v>0.45619526127498006</v>
      </c>
      <c r="C169" s="5">
        <f>'Método Linear'!F172</f>
        <v>0.37411982339753475</v>
      </c>
      <c r="D169" s="5">
        <f t="shared" si="15"/>
        <v>8.2075437877445312E-2</v>
      </c>
      <c r="E169" s="5">
        <f t="shared" si="16"/>
        <v>17.991295579892672</v>
      </c>
      <c r="F169" s="5" t="str">
        <f t="shared" si="17"/>
        <v>✅ OK</v>
      </c>
    </row>
    <row r="170" spans="1:6" x14ac:dyDescent="0.25">
      <c r="A170" s="6" t="s">
        <v>193</v>
      </c>
      <c r="B170" s="6">
        <f>'Método Área Nodal'!F170</f>
        <v>0.3807050098574099</v>
      </c>
      <c r="C170" s="6">
        <f>'Método Linear'!F173</f>
        <v>0.12118316959827513</v>
      </c>
      <c r="D170" s="6">
        <f t="shared" si="15"/>
        <v>0.25952184025913477</v>
      </c>
      <c r="E170" s="6">
        <f t="shared" si="16"/>
        <v>68.168748385091291</v>
      </c>
      <c r="F170" s="6" t="str">
        <f t="shared" si="17"/>
        <v>❌ Divergente</v>
      </c>
    </row>
    <row r="171" spans="1:6" x14ac:dyDescent="0.25">
      <c r="A171" s="5" t="s">
        <v>194</v>
      </c>
      <c r="B171" s="5">
        <f>'Método Área Nodal'!F171</f>
        <v>0.19492807697538431</v>
      </c>
      <c r="C171" s="5">
        <f>'Método Linear'!F174</f>
        <v>5.178298929687971E-2</v>
      </c>
      <c r="D171" s="5">
        <f t="shared" si="15"/>
        <v>0.14314508767850459</v>
      </c>
      <c r="E171" s="5">
        <f t="shared" si="16"/>
        <v>73.434822679023853</v>
      </c>
      <c r="F171" s="5" t="str">
        <f t="shared" si="17"/>
        <v>❌ Divergente</v>
      </c>
    </row>
    <row r="172" spans="1:6" x14ac:dyDescent="0.25">
      <c r="A172" s="6" t="s">
        <v>195</v>
      </c>
      <c r="B172" s="6">
        <f>'Método Área Nodal'!F172</f>
        <v>0.18415204847462838</v>
      </c>
      <c r="C172" s="6">
        <f>'Método Linear'!F175</f>
        <v>0.26217845891638264</v>
      </c>
      <c r="D172" s="6">
        <f t="shared" si="15"/>
        <v>-7.8026410441754263E-2</v>
      </c>
      <c r="E172" s="6">
        <f t="shared" si="16"/>
        <v>42.370644849223268</v>
      </c>
      <c r="F172" s="6" t="str">
        <f t="shared" si="17"/>
        <v>⚠️ Moderado</v>
      </c>
    </row>
    <row r="173" spans="1:6" x14ac:dyDescent="0.25">
      <c r="A173" s="5" t="s">
        <v>196</v>
      </c>
      <c r="B173" s="5">
        <f>'Método Área Nodal'!F173</f>
        <v>0.55841671088751754</v>
      </c>
      <c r="C173" s="5">
        <f>'Método Linear'!F176</f>
        <v>0.23748551086906963</v>
      </c>
      <c r="D173" s="5">
        <f t="shared" si="15"/>
        <v>0.32093120001844788</v>
      </c>
      <c r="E173" s="5">
        <f t="shared" si="16"/>
        <v>57.471632521236174</v>
      </c>
      <c r="F173" s="5" t="str">
        <f t="shared" si="17"/>
        <v>❌ Divergente</v>
      </c>
    </row>
    <row r="174" spans="1:6" x14ac:dyDescent="0.25">
      <c r="A174" s="6" t="s">
        <v>198</v>
      </c>
      <c r="B174" s="6">
        <f>'Método Área Nodal'!F174</f>
        <v>0.28722834095228328</v>
      </c>
      <c r="C174" s="6">
        <f>'Método Linear'!F177</f>
        <v>8.9501106431137886E-2</v>
      </c>
      <c r="D174" s="6">
        <f t="shared" si="15"/>
        <v>0.19772723452114538</v>
      </c>
      <c r="E174" s="6">
        <f t="shared" si="16"/>
        <v>68.839737007008466</v>
      </c>
      <c r="F174" s="6" t="str">
        <f t="shared" si="17"/>
        <v>❌ Divergente</v>
      </c>
    </row>
    <row r="175" spans="1:6" x14ac:dyDescent="0.25">
      <c r="A175" s="5" t="s">
        <v>199</v>
      </c>
      <c r="B175" s="5">
        <f>'Método Área Nodal'!F175</f>
        <v>0.16420780178866701</v>
      </c>
      <c r="C175" s="5">
        <f>'Método Linear'!F178</f>
        <v>9.9118359881143966E-2</v>
      </c>
      <c r="D175" s="5">
        <f t="shared" si="15"/>
        <v>6.5089441907523041E-2</v>
      </c>
      <c r="E175" s="5">
        <f t="shared" si="16"/>
        <v>39.63845882992343</v>
      </c>
      <c r="F175" s="5" t="str">
        <f t="shared" si="17"/>
        <v>⚠️ Moderado</v>
      </c>
    </row>
    <row r="176" spans="1:6" x14ac:dyDescent="0.25">
      <c r="A176" s="6" t="s">
        <v>200</v>
      </c>
      <c r="B176" s="6">
        <f>'Método Área Nodal'!F176</f>
        <v>0.45487486483884654</v>
      </c>
      <c r="C176" s="6">
        <f>'Método Linear'!F179</f>
        <v>5.1985153783816768E-2</v>
      </c>
      <c r="D176" s="6">
        <f t="shared" si="15"/>
        <v>0.4028897110550298</v>
      </c>
      <c r="E176" s="6">
        <f t="shared" si="16"/>
        <v>88.571548396670778</v>
      </c>
      <c r="F176" s="6" t="str">
        <f t="shared" si="17"/>
        <v>❌ Divergente</v>
      </c>
    </row>
    <row r="177" spans="1:6" x14ac:dyDescent="0.25">
      <c r="A177" s="5" t="s">
        <v>201</v>
      </c>
      <c r="B177" s="5">
        <f>'Método Área Nodal'!F177</f>
        <v>0.66572794727951301</v>
      </c>
      <c r="C177" s="5">
        <f>'Método Linear'!F180</f>
        <v>0.25654673392313582</v>
      </c>
      <c r="D177" s="5">
        <f t="shared" si="15"/>
        <v>0.40918121335637719</v>
      </c>
      <c r="E177" s="5">
        <f t="shared" si="16"/>
        <v>61.463727792785313</v>
      </c>
      <c r="F177" s="5" t="str">
        <f t="shared" si="17"/>
        <v>❌ Divergente</v>
      </c>
    </row>
    <row r="178" spans="1:6" x14ac:dyDescent="0.25">
      <c r="A178" s="6" t="s">
        <v>202</v>
      </c>
      <c r="B178" s="6">
        <f>'Método Área Nodal'!F178</f>
        <v>0.36109484623524607</v>
      </c>
      <c r="C178" s="6">
        <f>'Método Linear'!F181</f>
        <v>0.21669144935554291</v>
      </c>
      <c r="D178" s="6">
        <f t="shared" si="15"/>
        <v>0.14440339687970316</v>
      </c>
      <c r="E178" s="6">
        <f t="shared" si="16"/>
        <v>39.990434199004667</v>
      </c>
      <c r="F178" s="6" t="str">
        <f t="shared" si="17"/>
        <v>⚠️ Moderado</v>
      </c>
    </row>
    <row r="179" spans="1:6" x14ac:dyDescent="0.25">
      <c r="A179" s="5" t="s">
        <v>203</v>
      </c>
      <c r="B179" s="5">
        <f>'Método Área Nodal'!F179</f>
        <v>0.15063560617984009</v>
      </c>
      <c r="C179" s="5">
        <f>'Método Linear'!F182</f>
        <v>0.20776733128932107</v>
      </c>
      <c r="D179" s="5">
        <f t="shared" si="15"/>
        <v>-5.7131725109480974E-2</v>
      </c>
      <c r="E179" s="5">
        <f t="shared" si="16"/>
        <v>37.927105389195191</v>
      </c>
      <c r="F179" s="5" t="str">
        <f t="shared" si="17"/>
        <v>⚠️ Moderado</v>
      </c>
    </row>
    <row r="180" spans="1:6" x14ac:dyDescent="0.25">
      <c r="A180" s="6" t="s">
        <v>204</v>
      </c>
      <c r="B180" s="6">
        <f>'Método Área Nodal'!F180</f>
        <v>0.31303298509637739</v>
      </c>
      <c r="C180" s="6">
        <f>'Método Linear'!F183</f>
        <v>0.3282862461448029</v>
      </c>
      <c r="D180" s="6">
        <f t="shared" si="15"/>
        <v>-1.5253261048425504E-2</v>
      </c>
      <c r="E180" s="6">
        <f t="shared" si="16"/>
        <v>4.8727328347615799</v>
      </c>
      <c r="F180" s="6" t="str">
        <f t="shared" si="17"/>
        <v>✅ OK</v>
      </c>
    </row>
    <row r="181" spans="1:6" x14ac:dyDescent="0.25">
      <c r="A181" s="5" t="s">
        <v>205</v>
      </c>
      <c r="B181" s="5">
        <f>'Método Área Nodal'!F181</f>
        <v>0.49516573764195299</v>
      </c>
      <c r="C181" s="5">
        <f>'Método Linear'!F184</f>
        <v>0.46292779444488846</v>
      </c>
      <c r="D181" s="5">
        <f t="shared" si="15"/>
        <v>3.2237943197064522E-2</v>
      </c>
      <c r="E181" s="5">
        <f t="shared" si="16"/>
        <v>6.5105359168398893</v>
      </c>
      <c r="F181" s="5" t="str">
        <f t="shared" si="17"/>
        <v>✅ OK</v>
      </c>
    </row>
    <row r="182" spans="1:6" x14ac:dyDescent="0.25">
      <c r="A182" s="6" t="s">
        <v>206</v>
      </c>
      <c r="B182" s="6">
        <f>'Método Área Nodal'!F182</f>
        <v>0.11622448147229235</v>
      </c>
      <c r="C182" s="6">
        <f>'Método Linear'!F185</f>
        <v>0.12271384357079863</v>
      </c>
      <c r="D182" s="6">
        <f t="shared" si="15"/>
        <v>-6.489362098506285E-3</v>
      </c>
      <c r="E182" s="6">
        <f t="shared" si="16"/>
        <v>5.5834726180760246</v>
      </c>
      <c r="F182" s="6" t="str">
        <f t="shared" si="17"/>
        <v>✅ OK</v>
      </c>
    </row>
    <row r="183" spans="1:6" x14ac:dyDescent="0.25">
      <c r="A183" s="5" t="s">
        <v>207</v>
      </c>
      <c r="B183" s="5">
        <f>'Método Área Nodal'!F183</f>
        <v>0.33642335265336848</v>
      </c>
      <c r="C183" s="5">
        <f>'Método Linear'!F186</f>
        <v>0.1666990598001058</v>
      </c>
      <c r="D183" s="5">
        <f t="shared" si="15"/>
        <v>0.16972429285326268</v>
      </c>
      <c r="E183" s="5">
        <f t="shared" si="16"/>
        <v>50.449616982486035</v>
      </c>
      <c r="F183" s="5" t="str">
        <f t="shared" si="17"/>
        <v>❌ Divergente</v>
      </c>
    </row>
    <row r="184" spans="1:6" x14ac:dyDescent="0.25">
      <c r="A184" s="6" t="s">
        <v>208</v>
      </c>
      <c r="B184" s="6">
        <f>'Método Área Nodal'!F184</f>
        <v>0.14264037810449309</v>
      </c>
      <c r="C184" s="6">
        <f>'Método Linear'!F187</f>
        <v>8.1443407594646286E-2</v>
      </c>
      <c r="D184" s="6">
        <f t="shared" si="15"/>
        <v>6.1196970509846807E-2</v>
      </c>
      <c r="E184" s="6">
        <f t="shared" si="16"/>
        <v>42.902978331294214</v>
      </c>
      <c r="F184" s="6" t="str">
        <f t="shared" si="17"/>
        <v>⚠️ Moderado</v>
      </c>
    </row>
    <row r="185" spans="1:6" x14ac:dyDescent="0.25">
      <c r="A185" s="5" t="s">
        <v>209</v>
      </c>
      <c r="B185" s="5">
        <f>'Método Área Nodal'!F185</f>
        <v>6.9852955426232557E-2</v>
      </c>
      <c r="C185" s="5">
        <f>'Método Linear'!F188</f>
        <v>9.7732089113575574E-2</v>
      </c>
      <c r="D185" s="5">
        <f t="shared" si="15"/>
        <v>-2.7879133687343016E-2</v>
      </c>
      <c r="E185" s="5">
        <f t="shared" si="16"/>
        <v>39.911172715926767</v>
      </c>
      <c r="F185" s="5" t="str">
        <f t="shared" si="17"/>
        <v>⚠️ Moderado</v>
      </c>
    </row>
    <row r="186" spans="1:6" x14ac:dyDescent="0.25">
      <c r="A186" s="9" t="s">
        <v>210</v>
      </c>
      <c r="B186" s="9">
        <f>'Método Área Nodal'!F186</f>
        <v>58.910128414818374</v>
      </c>
      <c r="C186" s="9">
        <f>'Método Linear'!F189</f>
        <v>58.682545548990859</v>
      </c>
      <c r="D186" s="9">
        <f t="shared" si="15"/>
        <v>0.22758286582751452</v>
      </c>
      <c r="E186" s="9">
        <f>IF(B186=0,0,ABS(D186/B186)*100)</f>
        <v>0.38632213500703871</v>
      </c>
      <c r="F186" s="11" t="s">
        <v>640</v>
      </c>
    </row>
    <row r="187" spans="1:6" ht="15.75" x14ac:dyDescent="0.25">
      <c r="A187" s="15" t="s">
        <v>641</v>
      </c>
      <c r="B187" s="14"/>
      <c r="C187" s="14"/>
      <c r="D187" s="14"/>
      <c r="E187" s="14"/>
      <c r="F187" s="14"/>
    </row>
    <row r="188" spans="1:6" x14ac:dyDescent="0.25">
      <c r="A188" s="12" t="s">
        <v>642</v>
      </c>
      <c r="B188" s="8"/>
    </row>
    <row r="189" spans="1:6" x14ac:dyDescent="0.25">
      <c r="A189" s="12" t="s">
        <v>643</v>
      </c>
      <c r="B189" s="8" t="s">
        <v>644</v>
      </c>
    </row>
    <row r="190" spans="1:6" x14ac:dyDescent="0.25">
      <c r="A190" s="12" t="s">
        <v>645</v>
      </c>
      <c r="B190" s="8" t="s">
        <v>646</v>
      </c>
    </row>
    <row r="191" spans="1:6" x14ac:dyDescent="0.25">
      <c r="A191" s="12" t="s">
        <v>647</v>
      </c>
      <c r="B191" s="8" t="s">
        <v>648</v>
      </c>
    </row>
    <row r="192" spans="1:6" x14ac:dyDescent="0.25">
      <c r="A192" s="12" t="s">
        <v>649</v>
      </c>
      <c r="B192" s="8" t="s">
        <v>650</v>
      </c>
    </row>
  </sheetData>
  <mergeCells count="2">
    <mergeCell ref="A187:F187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Dados</vt:lpstr>
      <vt:lpstr>Projeção Populacional</vt:lpstr>
      <vt:lpstr>Método Área Nodal</vt:lpstr>
      <vt:lpstr>Método Linear</vt:lpstr>
      <vt:lpstr>Trechos</vt:lpstr>
      <vt:lpstr>Comparação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Joao Claudiano</cp:lastModifiedBy>
  <dcterms:created xsi:type="dcterms:W3CDTF">2026-05-10T09:46:46Z</dcterms:created>
  <dcterms:modified xsi:type="dcterms:W3CDTF">2026-05-10T14:43:13Z</dcterms:modified>
</cp:coreProperties>
</file>